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defaultThemeVersion="202300"/>
  <mc:AlternateContent xmlns:mc="http://schemas.openxmlformats.org/markup-compatibility/2006">
    <mc:Choice Requires="x15">
      <x15ac:absPath xmlns:x15ac="http://schemas.microsoft.com/office/spreadsheetml/2010/11/ac" url="/Users/emmanuelakinwale/Developer/pm-substrate/docs/"/>
    </mc:Choice>
  </mc:AlternateContent>
  <xr:revisionPtr revIDLastSave="0" documentId="13_ncr:1_{B9F1E510-F060-1346-9DAE-64131B9763B2}" xr6:coauthVersionLast="47" xr6:coauthVersionMax="47" xr10:uidLastSave="{00000000-0000-0000-0000-000000000000}"/>
  <bookViews>
    <workbookView xWindow="0" yWindow="660" windowWidth="34560" windowHeight="21680" activeTab="3" xr2:uid="{F66B4C7C-1CA9-2141-B218-190A95B577B9}"/>
  </bookViews>
  <sheets>
    <sheet name="Sheet1" sheetId="1" r:id="rId1"/>
    <sheet name="Project Tracker" sheetId="2" r:id="rId2"/>
    <sheet name="Project Definition" sheetId="3" r:id="rId3"/>
    <sheet name="Token Savings Model" sheetId="4" r:id="rId4"/>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G24" i="4" l="1"/>
  <c r="F24" i="4"/>
  <c r="E24" i="4"/>
  <c r="D24" i="4"/>
  <c r="C24" i="4"/>
  <c r="G23" i="4"/>
  <c r="F23" i="4"/>
  <c r="E23" i="4"/>
  <c r="D23" i="4"/>
  <c r="C23" i="4"/>
  <c r="G22" i="4"/>
  <c r="F22" i="4"/>
  <c r="E22" i="4"/>
  <c r="D22" i="4"/>
  <c r="C22" i="4"/>
  <c r="G21" i="4"/>
  <c r="F21" i="4"/>
  <c r="E21" i="4"/>
  <c r="D21" i="4"/>
  <c r="C21" i="4"/>
  <c r="G20" i="4"/>
  <c r="F20" i="4"/>
  <c r="E20" i="4"/>
  <c r="D20" i="4"/>
  <c r="C20" i="4"/>
  <c r="C14" i="4"/>
  <c r="C15" i="4" s="1"/>
  <c r="C16" i="4" s="1"/>
  <c r="C13" i="4"/>
  <c r="C44" i="3"/>
  <c r="C24" i="3"/>
  <c r="C23" i="3"/>
  <c r="C22" i="3"/>
  <c r="G8" i="3"/>
  <c r="G7" i="3"/>
  <c r="G6" i="3"/>
  <c r="G4"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Emmanuel Akinwale</author>
  </authors>
  <commentList>
    <comment ref="C6" authorId="0" shapeId="0" xr:uid="{48E0E64F-31CC-8845-B292-914E08031970}">
      <text>
        <r>
          <rPr>
            <b/>
            <sz val="10"/>
            <color rgb="FF000000"/>
            <rFont val="Tahoma"/>
            <family val="2"/>
          </rPr>
          <t>Emmanuel Akinwale:</t>
        </r>
        <r>
          <rPr>
            <sz val="10"/>
            <color rgb="FF000000"/>
            <rFont val="Tahoma"/>
            <family val="2"/>
          </rPr>
          <t xml:space="preserve">
Your note: "the project mgmt methodologies are all demonstratable." Agreed — budgeting, scheduling, resource allocation, execution, monitoring all explicitly mapped. Scored 4 not 5 because the write-up omits the required Transition-to-operations element; add it and this is a 5.</t>
        </r>
      </text>
    </comment>
    <comment ref="D6" authorId="0" shapeId="0" xr:uid="{5E438BC8-464F-7F43-BBB6-B4E0E04F6D15}">
      <text>
        <r>
          <rPr>
            <b/>
            <sz val="10"/>
            <color rgb="FF000000"/>
            <rFont val="Tahoma"/>
            <family val="2"/>
          </rPr>
          <t>Emmanuel Akinwale:</t>
        </r>
        <r>
          <rPr>
            <sz val="10"/>
            <color rgb="FF000000"/>
            <rFont val="Tahoma"/>
            <family val="2"/>
          </rPr>
          <t xml:space="preserve">
Excellent primary data: real repo with commits, tests, changelog, build verification, eval metrics — rare advantage for the 30-pt Research &amp; Analytical Depth criterion.</t>
        </r>
      </text>
    </comment>
    <comment ref="E6" authorId="0" shapeId="0" xr:uid="{0277B1C2-9C32-DA4E-82C7-8F488A67409D}">
      <text>
        <r>
          <rPr>
            <b/>
            <sz val="10"/>
            <color rgb="FF000000"/>
            <rFont val="Tahoma"/>
            <family val="2"/>
          </rPr>
          <t>Emmanuel Akinwale:</t>
        </r>
        <r>
          <rPr>
            <sz val="10"/>
            <color rgb="FF000000"/>
            <rFont val="Tahoma"/>
            <family val="2"/>
          </rPr>
          <t xml:space="preserve">
Your own repo and research problem — sustained motivation through Week 13 is not a risk.</t>
        </r>
      </text>
    </comment>
    <comment ref="F6" authorId="0" shapeId="0" xr:uid="{AB005FF5-B56B-AE47-87EE-EE4AF2A3F82E}">
      <text>
        <r>
          <rPr>
            <b/>
            <sz val="10"/>
            <color rgb="FF000000"/>
            <rFont val="Tahoma"/>
            <family val="2"/>
          </rPr>
          <t>Emmanuel Akinwale:</t>
        </r>
        <r>
          <rPr>
            <sz val="10"/>
            <color rgb="FF000000"/>
            <rFont val="Tahoma"/>
            <family val="2"/>
          </rPr>
          <t xml:space="preserve">
Individually feasible with data already in hand. Two acknowledged risks: scope creep, and translating an AI-agent problem into PM language for a non-technical poster audience.</t>
        </r>
      </text>
    </comment>
    <comment ref="C38" authorId="0" shapeId="0" xr:uid="{6450D221-01AF-B542-B62B-BBF874F1F7AE}">
      <text>
        <r>
          <rPr>
            <b/>
            <sz val="10"/>
            <color rgb="FF000000"/>
            <rFont val="Tahoma"/>
            <family val="2"/>
          </rPr>
          <t>Emmanuel Akinwale:</t>
        </r>
        <r>
          <rPr>
            <sz val="10"/>
            <color rgb="FF000000"/>
            <rFont val="Tahoma"/>
            <family val="2"/>
          </rPr>
          <t xml:space="preserve">
Source: Final Poster rubric on Sheet1 (rows 52-55)</t>
        </r>
      </text>
    </comment>
    <comment ref="C39" authorId="0" shapeId="0" xr:uid="{4521BBFF-1CC8-D145-BE84-3458FD30EB03}">
      <text>
        <r>
          <rPr>
            <b/>
            <sz val="10"/>
            <color rgb="FF000000"/>
            <rFont val="Tahoma"/>
            <family val="2"/>
          </rPr>
          <t>Emmanuel Akinwale:</t>
        </r>
        <r>
          <rPr>
            <sz val="10"/>
            <color rgb="FF000000"/>
            <rFont val="Tahoma"/>
            <family val="2"/>
          </rPr>
          <t xml:space="preserve">
Source: Final Poster rubric on Sheet1 (rows 56-59)</t>
        </r>
      </text>
    </comment>
    <comment ref="C40" authorId="0" shapeId="0" xr:uid="{7EC9471F-E7E2-0A44-B6CB-9EA520C5DAC1}">
      <text>
        <r>
          <rPr>
            <b/>
            <sz val="10"/>
            <color rgb="FF000000"/>
            <rFont val="Tahoma"/>
            <family val="2"/>
          </rPr>
          <t>Emmanuel Akinwale:</t>
        </r>
        <r>
          <rPr>
            <sz val="10"/>
            <color rgb="FF000000"/>
            <rFont val="Tahoma"/>
            <family val="2"/>
          </rPr>
          <t xml:space="preserve">
Source: Final Poster rubric on Sheet1 (rows 60-63)</t>
        </r>
      </text>
    </comment>
    <comment ref="C41" authorId="0" shapeId="0" xr:uid="{97429EBD-747C-FC44-8BC2-A759FCB32E84}">
      <text>
        <r>
          <rPr>
            <b/>
            <sz val="10"/>
            <color rgb="FF000000"/>
            <rFont val="Tahoma"/>
            <family val="2"/>
          </rPr>
          <t>Emmanuel Akinwale:</t>
        </r>
        <r>
          <rPr>
            <sz val="10"/>
            <color rgb="FF000000"/>
            <rFont val="Tahoma"/>
            <family val="2"/>
          </rPr>
          <t xml:space="preserve">
</t>
        </r>
        <r>
          <rPr>
            <sz val="10"/>
            <color rgb="FF000000"/>
            <rFont val="Tahoma"/>
            <family val="2"/>
          </rPr>
          <t>Source: Final Poster rubric on Sheet1 (rows 64-67)</t>
        </r>
      </text>
    </comment>
    <comment ref="C42" authorId="0" shapeId="0" xr:uid="{294A0970-8156-164A-83F3-D26B8CF1B9DF}">
      <text>
        <r>
          <rPr>
            <b/>
            <sz val="10"/>
            <color rgb="FF000000"/>
            <rFont val="Tahoma"/>
            <family val="2"/>
          </rPr>
          <t>Emmanuel Akinwale:</t>
        </r>
        <r>
          <rPr>
            <sz val="10"/>
            <color rgb="FF000000"/>
            <rFont val="Tahoma"/>
            <family val="2"/>
          </rPr>
          <t xml:space="preserve">
</t>
        </r>
        <r>
          <rPr>
            <sz val="10"/>
            <color rgb="FF000000"/>
            <rFont val="Tahoma"/>
            <family val="2"/>
          </rPr>
          <t>Source: Final Poster rubric on Sheet1 (rows 68-71)</t>
        </r>
      </text>
    </comment>
    <comment ref="C43" authorId="0" shapeId="0" xr:uid="{1079489A-BDF1-764D-B357-FE553B421E06}">
      <text>
        <r>
          <rPr>
            <b/>
            <sz val="10"/>
            <color rgb="FF000000"/>
            <rFont val="Tahoma"/>
            <family val="2"/>
          </rPr>
          <t>Emmanuel Akinwale:</t>
        </r>
        <r>
          <rPr>
            <sz val="10"/>
            <color rgb="FF000000"/>
            <rFont val="Tahoma"/>
            <family val="2"/>
          </rPr>
          <t xml:space="preserve">
Source: Final Poster rubric on Sheet1 (rows 72-75)</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Emmanuel Akinwale</author>
  </authors>
  <commentList>
    <comment ref="C6" authorId="0" shapeId="0" xr:uid="{0215CA61-E983-9F43-B256-1C9A3B66B10B}">
      <text>
        <r>
          <rPr>
            <b/>
            <sz val="10"/>
            <color rgb="FF000000"/>
            <rFont val="Tahoma"/>
            <family val="2"/>
          </rPr>
          <t>Emmanuel Akinwale:</t>
        </r>
        <r>
          <rPr>
            <sz val="10"/>
            <color rgb="FF000000"/>
            <rFont val="Tahoma"/>
            <family val="2"/>
          </rPr>
          <t xml:space="preserve">
</t>
        </r>
        <r>
          <rPr>
            <sz val="10"/>
            <color rgb="FF000000"/>
            <rFont val="Tahoma"/>
            <family val="2"/>
          </rPr>
          <t>Assumption — illustrative workload for the business case. State this on the poster.</t>
        </r>
      </text>
    </comment>
    <comment ref="C7" authorId="0" shapeId="0" xr:uid="{B317A528-48B3-4F49-8EAE-C42A86555170}">
      <text>
        <r>
          <rPr>
            <b/>
            <sz val="10"/>
            <color rgb="FF000000"/>
            <rFont val="Tahoma"/>
            <family val="2"/>
          </rPr>
          <t>Emmanuel Akinwale:</t>
        </r>
        <r>
          <rPr>
            <sz val="10"/>
            <color rgb="FF000000"/>
            <rFont val="Tahoma"/>
            <family val="2"/>
          </rPr>
          <t xml:space="preserve">
PLACEHOLDER — replace with measured retry/failure rate from eval scenarios run WITHOUT read-set validation.</t>
        </r>
      </text>
    </comment>
    <comment ref="C8" authorId="0" shapeId="0" xr:uid="{F350EB97-02A8-ED4E-9421-286941E82F62}">
      <text>
        <r>
          <rPr>
            <b/>
            <sz val="10"/>
            <color rgb="FF000000"/>
            <rFont val="Tahoma"/>
            <family val="2"/>
          </rPr>
          <t>Emmanuel Akinwale:</t>
        </r>
        <r>
          <rPr>
            <sz val="10"/>
            <color rgb="FF000000"/>
            <rFont val="Tahoma"/>
            <family val="2"/>
          </rPr>
          <t xml:space="preserve">
PLACEHOLDER — replace with measured retry/failure rate from eval scenarios run WITH read-set validation + observation contracts.</t>
        </r>
      </text>
    </comment>
    <comment ref="C9" authorId="0" shapeId="0" xr:uid="{CEBEEF57-C73B-F54E-A5EA-131B21D4C124}">
      <text>
        <r>
          <rPr>
            <b/>
            <sz val="10"/>
            <color rgb="FF000000"/>
            <rFont val="Tahoma"/>
            <family val="2"/>
          </rPr>
          <t>Emmanuel Akinwale:</t>
        </r>
        <r>
          <rPr>
            <sz val="10"/>
            <color rgb="FF000000"/>
            <rFont val="Tahoma"/>
            <family val="2"/>
          </rPr>
          <t xml:space="preserve">
PLACEHOLDER — replace with measured mean (prompt + completion tokens) per failed/retried attempt from the token meter.</t>
        </r>
      </text>
    </comment>
    <comment ref="C10" authorId="0" shapeId="0" xr:uid="{58D2F1D5-8F31-FC44-B3DE-73BD2515525E}">
      <text>
        <r>
          <rPr>
            <b/>
            <sz val="10"/>
            <color rgb="FF000000"/>
            <rFont val="Tahoma"/>
            <family val="2"/>
          </rPr>
          <t>Emmanuel Akinwale:</t>
        </r>
        <r>
          <rPr>
            <sz val="10"/>
            <color rgb="FF000000"/>
            <rFont val="Tahoma"/>
            <family val="2"/>
          </rPr>
          <t xml:space="preserve">
Assumption — blended input/output price. Cite your provider's published price sheet on the poster and in the poster references.</t>
        </r>
      </text>
    </comment>
  </commentList>
</comments>
</file>

<file path=xl/sharedStrings.xml><?xml version="1.0" encoding="utf-8"?>
<sst xmlns="http://schemas.openxmlformats.org/spreadsheetml/2006/main" count="271" uniqueCount="225">
  <si>
    <t>Capstone project must involve a comprehensive analysis of a project management topic</t>
  </si>
  <si>
    <t>an analytical review of project management methodologies or in-depth examination of a real/hypothetical project.</t>
  </si>
  <si>
    <t>Final deliverable needs to be a detailed poster presentation that will be shared with peers for critique and learning through a structured peer-reviewed process.</t>
  </si>
  <si>
    <t>Demostration of the ability to integrate and communication complex information related to the planning and execution of project management approaches and responsibilities</t>
  </si>
  <si>
    <t>End Goal:</t>
  </si>
  <si>
    <t>Assignment Objective:</t>
  </si>
  <si>
    <t>Understanding in order to showcase the advanced project management strategies, including budgeting, scheduling, resource allocation and project monitoring and control.</t>
  </si>
  <si>
    <t>Describe the planning and execution of a complex project incorporating a management approach. (MLO 1, 2; CLO A, E)</t>
  </si>
  <si>
    <t>Develop a comprehensive project plan that includes budgeting, scheduling, and resource allocation. (MLO 2, 2;CLO D, E)</t>
  </si>
  <si>
    <t>Analyze a complex project and develop documentation of the process  for transitioning the project to operational status. (MLO1, 2; CLO D, E)</t>
  </si>
  <si>
    <t>Directions</t>
  </si>
  <si>
    <t>Project Selection</t>
  </si>
  <si>
    <t>Choose a topic that reflects a significant aspect of project management. This could be a detailed analysis of a completed project, a case study on the use of specific project management methodologies, or a hypothetical scenario that explores project planning and execution strategies.</t>
  </si>
  <si>
    <t>You have the option to work individually or in groups. Working in groups can enhance collaboration and bring diverse perspectives to your project. However, if you prefer to work individually, that is also acceptable.</t>
  </si>
  <si>
    <t>Project selection approved by Week 4.</t>
  </si>
  <si>
    <t>Research and Analysis</t>
  </si>
  <si>
    <t>Conduct thorough research on your chosen topic. Gather data, utilize project management tools, and apply the concepts learned throughout the course. Include the following project management elements: </t>
  </si>
  <si>
    <t>Project introduction</t>
  </si>
  <si>
    <t>Planning</t>
  </si>
  <si>
    <t>Budgeting</t>
  </si>
  <si>
    <t>Scheduling </t>
  </si>
  <si>
    <t>Execution</t>
  </si>
  <si>
    <t>Monitoring</t>
  </si>
  <si>
    <t>Transition </t>
  </si>
  <si>
    <t>Analyze your findings, focusing on the critical aspects of project planning, execution, monitoring, and control.</t>
  </si>
  <si>
    <t>Develop a comprehensive project plan that includes budgeting, scheduling, and resource allocation.</t>
  </si>
  <si>
    <t>Poster Creation</t>
  </si>
  <si>
    <t>Design a poster that thoroughly communicates your project. Include key elements such as introduction, methodology, results, and conclusions.</t>
  </si>
  <si>
    <t>Be sure to incorporate all necessary elements such as project background, analysis, results, and conclusions.</t>
  </si>
  <si>
    <t>Ensure that your poster is visually engaging and organized in a way that logically presents your analysis.</t>
  </si>
  <si>
    <t>Peer Review</t>
  </si>
  <si>
    <t>Participate in the peer review process by providing constructive feedback on your classmates’ projects.</t>
  </si>
  <si>
    <t>Use the feedback received from your peers understanding of project management applications.</t>
  </si>
  <si>
    <r>
      <t>Due:</t>
    </r>
    <r>
      <rPr>
        <b/>
        <sz val="10"/>
        <color rgb="FF000000"/>
        <rFont val="Helvetica Neue"/>
        <family val="2"/>
      </rPr>
      <t> Submit your poster by Sunday, Week 13 (11:59 pm Central) </t>
    </r>
  </si>
  <si>
    <r>
      <t>Due:</t>
    </r>
    <r>
      <rPr>
        <b/>
        <sz val="11"/>
        <color rgb="FF000000"/>
        <rFont val="Helvetica Neue"/>
        <family val="2"/>
      </rPr>
      <t> Submit 5 Peer Reviews by Friday, Week 14 (11:59 pm Central) NOTE: Friday, Week 14 is the final day of the course.</t>
    </r>
  </si>
  <si>
    <t>ISE 5763 Capstone — Project Requirements &amp; Tracker</t>
  </si>
  <si>
    <t>Project Title:</t>
  </si>
  <si>
    <t>Team Members:</t>
  </si>
  <si>
    <t>Individual / Group:</t>
  </si>
  <si>
    <t>Topic / Focus:</t>
  </si>
  <si>
    <t>Topic Approved (Wk 4):</t>
  </si>
  <si>
    <t>#</t>
  </si>
  <si>
    <t>Task / Requirement</t>
  </si>
  <si>
    <t>Phase</t>
  </si>
  <si>
    <t>Details / Acceptance Criteria</t>
  </si>
  <si>
    <t>Owner</t>
  </si>
  <si>
    <t>Due (Wk)</t>
  </si>
  <si>
    <t>Status</t>
  </si>
  <si>
    <t>Notes</t>
  </si>
  <si>
    <t>Final Poster</t>
  </si>
  <si>
    <t>Criteria</t>
  </si>
  <si>
    <t>Ratings</t>
  </si>
  <si>
    <t>Pts</t>
  </si>
  <si>
    <t>This criterion is linked to a Learning OutcomeProject Scope &amp; Selection</t>
  </si>
  <si>
    <t>20 pts</t>
  </si>
  <si>
    <t>This criterion is linked to a Learning OutcomeResearch &amp; Analytical Depth</t>
  </si>
  <si>
    <t>30 pts</t>
  </si>
  <si>
    <t>This criterion is linked to a Learning OutcomeProject Plan &amp; PM Components</t>
  </si>
  <si>
    <t>This criterion is linked to a Learning OutcomePoster Content &amp; Design</t>
  </si>
  <si>
    <t>15 pts</t>
  </si>
  <si>
    <t>This criterion is linked to a Learning OutcomeCommunication &amp; Documentation</t>
  </si>
  <si>
    <t>10 pts</t>
  </si>
  <si>
    <t>This criterion is linked to a Learning OutcomeEngagement in Peer Review</t>
  </si>
  <si>
    <t>5 pts</t>
  </si>
  <si>
    <t>20 ptsExcellent (A)Topic is highly relevant, clearly defined, and demonstrates strategic depth in project management.</t>
  </si>
  <si>
    <t>8 ptsBasic (C)Topic is somewhat unclear, simplistic, or loosely tied to project management.</t>
  </si>
  <si>
    <t>0 ptsNeeds Improvement (D/F)Topic lacks relevance, clarity, or does not meet assignment criteria.</t>
  </si>
  <si>
    <t>30 ptsExcellent (A)Extensive research with strong integration of tools/data. Analysis demonstrates critical thinking and systems-level insight.</t>
  </si>
  <si>
    <t>18 ptsProficient (B)Adequate research with sound use of tools and coherent analysis of planning and execution.</t>
  </si>
  <si>
    <t>12 ptsBasic (C)Basic data and tools used; analysis is superficial or lacks specificity.</t>
  </si>
  <si>
    <t>0 ptsNeeds Improvement (D/F)Minimal research and analysis; lacks logical structure or integration.</t>
  </si>
  <si>
    <t>20 ptsExcellent (A)Fully developed plan including budgeting, scheduling, monitoring, and transition. Components are interlinked and justified.</t>
  </si>
  <si>
    <t>12 ptsProficient (B)Includes most project components with reasonable clarity and connection to planning goals.</t>
  </si>
  <si>
    <t>8 ptsBasic (C)Some components missing or loosely developed; limited coherence.</t>
  </si>
  <si>
    <t>0 ptsNeeds Improvement (D/F)Project plan is incomplete, vague, or disconnected from course concepts.</t>
  </si>
  <si>
    <t>15 ptsExcellent (A)Poster is visually compelling, logically organized, and clearly communicates methodology, findings, and conclusions.</t>
  </si>
  <si>
    <t>9 ptsProficient (B)Poster is organized and informative with some visual appeal and clarity of information.</t>
  </si>
  <si>
    <t>6 ptsBasic (C)Poster presents necessary information but lacks visual clarity or logical flow.</t>
  </si>
  <si>
    <t>0 ptsNeeds Improvement (D/F)Poster is poorly designed, hard to interpret, or missing key elements.</t>
  </si>
  <si>
    <t>10 ptsExcellent (A)Writing is precise and professional. Poster and peer review responses demonstrate mastery of project management language.</t>
  </si>
  <si>
    <t>6 ptsProficient (B)Generally clear communication with minor errors; demonstrates sound understanding.</t>
  </si>
  <si>
    <t>4 ptsBasic (C)Language is inconsistent or simplistic; ideas may be difficult to follow.</t>
  </si>
  <si>
    <t>0 ptsNeeds Improvement (D/F)Writing lacks clarity, contains errors, or fails to convey core ideas.</t>
  </si>
  <si>
    <t>5 ptsExcellent (A)Provides insightful, constructive feedback using PM principles. Demonstrates learning from peer feedback.</t>
  </si>
  <si>
    <t>3 ptsProficient (B)Offers relevant peer critiques and acknowledges feedback impact.</t>
  </si>
  <si>
    <t>2 ptsBasic (C)Limited or vague feedback; minimal engagement with peer input.</t>
  </si>
  <si>
    <t>0 ptsNeeds Improvement (D/F)No peer review participation or off-topic/non-constructive feedback.</t>
  </si>
  <si>
    <t>Select project topic</t>
  </si>
  <si>
    <t>Selection</t>
  </si>
  <si>
    <t>Detailed analysis of a completed project, a case study on a specific PM methodology, or a hypothetical project scenario.</t>
  </si>
  <si>
    <t>Not Started</t>
  </si>
  <si>
    <t>Choose individual or group</t>
  </si>
  <si>
    <t>Decide whether to work individually or in a group.</t>
  </si>
  <si>
    <t>Get topic approved</t>
  </si>
  <si>
    <t>Project selection approved by instructor.</t>
  </si>
  <si>
    <t>Research</t>
  </si>
  <si>
    <t>Background and context of the chosen project.</t>
  </si>
  <si>
    <t>Scope, objectives, and approach for the project.</t>
  </si>
  <si>
    <t>Cost estimates and budget allocation.</t>
  </si>
  <si>
    <t>Scheduling</t>
  </si>
  <si>
    <t>Timeline, milestones, and dependencies.</t>
  </si>
  <si>
    <t>How the project work is carried out.</t>
  </si>
  <si>
    <t>Monitoring and control of progress and performance.</t>
  </si>
  <si>
    <t>Transition</t>
  </si>
  <si>
    <t>Documentation for transitioning the project to operational status.</t>
  </si>
  <si>
    <t>Analyze findings</t>
  </si>
  <si>
    <t>Focus on critical aspects of planning, execution, monitoring, and control.</t>
  </si>
  <si>
    <t>Comprehensive project plan</t>
  </si>
  <si>
    <t>Includes budgeting, scheduling, and resource allocation.</t>
  </si>
  <si>
    <t>Design poster</t>
  </si>
  <si>
    <t>Poster</t>
  </si>
  <si>
    <t>Communicate the project: introduction, methodology, results, and conclusions.</t>
  </si>
  <si>
    <t>Include required elements</t>
  </si>
  <si>
    <t>Project background, analysis, results, and conclusions.</t>
  </si>
  <si>
    <t>Make poster visual &amp; organized</t>
  </si>
  <si>
    <t>Visually engaging and logically presented.</t>
  </si>
  <si>
    <t>Submit poster</t>
  </si>
  <si>
    <t>Submit poster by Sunday, Week 13 (11:59pm Central).</t>
  </si>
  <si>
    <t>Provide peer feedback</t>
  </si>
  <si>
    <t>Constructive feedback on classmates' projects.</t>
  </si>
  <si>
    <t>Submit 5 peer reviews</t>
  </si>
  <si>
    <t>Submit 5 peer reviews by Friday, Week 14 (11:59pm Central).</t>
  </si>
  <si>
    <t>Incorporate feedback</t>
  </si>
  <si>
    <t>Use peer feedback to deepen PM understanding.</t>
  </si>
  <si>
    <t>(12 pts) Proficient (B)Topic is appropriate and defined with general relevance to course themes.</t>
  </si>
  <si>
    <t>Progress:</t>
  </si>
  <si>
    <t>Project Definition — Idea → Selection → Objectives → Breakdown</t>
  </si>
  <si>
    <t>STEP 1 — Brainstorm candidate ideas &amp; score them (1 = weak, 5 = strong)</t>
  </si>
  <si>
    <t>Candidate Idea</t>
  </si>
  <si>
    <t>PM Relevance</t>
  </si>
  <si>
    <t>Data Available</t>
  </si>
  <si>
    <t>Interest</t>
  </si>
  <si>
    <t>Feasibility</t>
  </si>
  <si>
    <t>Total</t>
  </si>
  <si>
    <t>Tip: the highest total is your strongest candidate — carry it into Step 2.</t>
  </si>
  <si>
    <t>STEP 2 — Project Selection (approval due Week 4)</t>
  </si>
  <si>
    <t>Chosen topic (winner from Step 1)</t>
  </si>
  <si>
    <t>Project type</t>
  </si>
  <si>
    <t>Organization / context (real or hypothetical)</t>
  </si>
  <si>
    <t>Why it matters to project management</t>
  </si>
  <si>
    <t>One-sentence topic statement</t>
  </si>
  <si>
    <t>Rubric target (20 pts): “highly relevant, clearly defined, demonstrates strategic depth.”</t>
  </si>
  <si>
    <t>STEP 3 — Objectives (what your project must demonstrate)</t>
  </si>
  <si>
    <t>Overall project objective (SMART)</t>
  </si>
  <si>
    <t>Assignment objective (from brief)</t>
  </si>
  <si>
    <t>How my project addresses it</t>
  </si>
  <si>
    <t>Objective 1</t>
  </si>
  <si>
    <t>Objective 2</t>
  </si>
  <si>
    <t>Objective 3</t>
  </si>
  <si>
    <t>STEP 4 — Scope breakdown (required PM elements)</t>
  </si>
  <si>
    <t>Element</t>
  </si>
  <si>
    <t>What I will cover</t>
  </si>
  <si>
    <t>Data / tools I'll need</t>
  </si>
  <si>
    <t>Monitoring &amp; control</t>
  </si>
  <si>
    <t>Transition to operations</t>
  </si>
  <si>
    <t>STEP 5 — Rubric alignment check (aim for the A column)</t>
  </si>
  <si>
    <t>Rubric criterion</t>
  </si>
  <si>
    <t>What Excellent (A) requires</t>
  </si>
  <si>
    <t>My plan to get there</t>
  </si>
  <si>
    <t>Project Scope &amp; Selection</t>
  </si>
  <si>
    <t>Highly relevant, clearly defined topic with strategic depth.</t>
  </si>
  <si>
    <t>Research &amp; Analytical Depth</t>
  </si>
  <si>
    <t>Extensive research, strong tools/data integration, critical systems-level analysis.</t>
  </si>
  <si>
    <t>Project Plan &amp; PM Components</t>
  </si>
  <si>
    <t>Fully developed plan — budgeting, scheduling, monitoring, transition — interlinked and justified.</t>
  </si>
  <si>
    <t>Poster Content &amp; Design</t>
  </si>
  <si>
    <t>Visually compelling, logically organized; clear methodology, findings, conclusions.</t>
  </si>
  <si>
    <t>Communication &amp; Documentation</t>
  </si>
  <si>
    <t>Precise, professional writing; mastery of PM language.</t>
  </si>
  <si>
    <t>Engagement in Peer Review</t>
  </si>
  <si>
    <t>Insightful, constructive feedback using PM principles; shows learning from feedback.</t>
  </si>
  <si>
    <t>PM Substrate for Reliable AI Agent Project Workflows — pm-substrate repo as a software implementation case study + project execution analysis</t>
  </si>
  <si>
    <t>PM Substrate for Reliable AI Agent Project Workflows — applying project management methods to the planning, implementation, and monitoring of the pm-substrate repository</t>
  </si>
  <si>
    <t>Case study of a PM methodology</t>
  </si>
  <si>
    <t>AI agents often act on stale, incomplete, or non-authoritative information. This project demonstrates how core PM disciplines — budgeting, scheduling, resource allocation, execution tracking, monitoring &amp; control, and transition to operations — keep a fast-changing technical system correct, traceable, and risk-controlled.</t>
  </si>
  <si>
    <t>A case study applying advanced project management methods — budgeting, scheduling, resource allocation, execution monitoring, and operational transition — to the delivery of pm-substrate, an open-source system that gives AI agents a validated, current-state view of a project before they act.</t>
  </si>
  <si>
    <t>By the Week 13 poster deadline, deliver an evidence-based case study of the pm-substrate project that documents: (1) a complete project plan — time/tooling budget, milestone schedule, and resource plan; (2) execution tracked through commits, tests, and changelog; (3) monitoring via build verification and eval-scenario metrics; and (4) a transition-to-operations package (versioned release + runbook) — with topic approval secured by Week 4.</t>
  </si>
  <si>
    <t>Poster narrates the full lifecycle of pm-substrate — planning (architecture, milestones, risk register) through execution (tracked code changes, tests, changelog) — under an explicit management approach: iterative delivery with stage-gate milestone reviews.</t>
  </si>
  <si>
    <t>Plan built in this workbook: time/tooling budget for implementation and testing phases; milestone schedule (research → architecture → adapter → validation rules → eval scenarios → reporting); resource plan across five roles — engineering, PM, testing, technical writing, domain review.</t>
  </si>
  <si>
    <t>Analysis of monitoring data (test results, build verification, eval metrics) plus a documented transition to operational status: versioned release, runbook/usage documentation, and acceptance criteria for ongoing use.</t>
  </si>
  <si>
    <t>Problem statement: AI agents act on stale, incomplete, or non-authoritative state. Introduce pm-substrate as the proposed solution and the stakeholder value of managing it as a formal project.</t>
  </si>
  <si>
    <t>Repo README, project write-up, course concepts</t>
  </si>
  <si>
    <t>Scope definition and WBS from milestones (research, architecture, adapter, validation rules, eval scenarios, reporting); risk register (scope creep, technical-to-PM translation); chosen management approach.</t>
  </si>
  <si>
    <t>This workbook (Definition + Tracker), WBS / Gantt, risk log</t>
  </si>
  <si>
    <t>Effort estimates, time log, cost table in Excel</t>
  </si>
  <si>
    <t>Milestone schedule with dependencies and critical path, mapped to course weeks (approval Wk 4 → poster Wk 13); baseline vs. actual dates to show schedule control.</t>
  </si>
  <si>
    <t>Gantt chart, Project Tracker due-weeks, GitHub milestones</t>
  </si>
  <si>
    <t>Evidence of managed delivery: commits mapped to milestones, changelog updates, completed ArrowHedge adapter and read-set validation rules.</t>
  </si>
  <si>
    <t>GitHub commit history, changelog, pull requests</t>
  </si>
  <si>
    <t>CI/test results, eval metrics, variance table</t>
  </si>
  <si>
    <t>Operational-readiness package: versioned release, runbook/usage documentation, observation contracts as ongoing quality gates, and handoff/acceptance criteria.</t>
  </si>
  <si>
    <t>Release notes, runbook, repo documentation</t>
  </si>
  <si>
    <t>Lead with the Step 2 one-sentence statement; secure Week-4 approval; open the poster with the problem statement and stakeholder value so relevance and strategic depth are explicit.</t>
  </si>
  <si>
    <t>Use primary repo data — commit history, CI/test results, eval-scenario metrics — plus PM methodology sources. Analyze (variance, corrective actions, systems-level insight on agents/tools/state), don't just describe.</t>
  </si>
  <si>
    <t>Build all six components in this workbook — budget, schedule, resources, execution, monitoring, transition — and show interlinks: monitoring KPIs trigger schedule/budget corrections; justify each design choice.</t>
  </si>
  <si>
    <t>Poster flows left→right through the lifecycle: intro → plan → execution → monitoring → transition → conclusions. One non-technical analogy up front; visuals: Gantt, budget-vs-actual chart, KPI dashboard.</t>
  </si>
  <si>
    <t>Use precise PM vocabulary (baseline, variance, critical path, stage gate). Draft early; test clarity on a non-technical reader; proofread against the rubric before submission.</t>
  </si>
  <si>
    <t>Give 5 structured peer reviews framed in PM principles (scope, schedule, risk, quality). Log feedback received and document at least one change made in response — evidence of learning.</t>
  </si>
  <si>
    <t>PM Substrate for Reliable AI Agent Project Workflows</t>
  </si>
  <si>
    <t>Emmanuel Akinwale</t>
  </si>
  <si>
    <t>Individual (open to peer feedback)</t>
  </si>
  <si>
    <t>Case study of a PM methodology — pm-substrate repo as implementation case study + execution analysis</t>
  </si>
  <si>
    <t>In Progress</t>
  </si>
  <si>
    <t>Complete</t>
  </si>
  <si>
    <t>Working individually per project write-up.</t>
  </si>
  <si>
    <t>Cost–benefit analysis: (a) cost side — estimated vs. actual hours per phase + tooling costs (budget $0 items explicitly); (b) benefit side — modeled token-cost savings from reduced agent retries (eval-measured retry rates × assumed task volume × token price), with sensitivity analysis. See Token Savings Model sheet.</t>
  </si>
  <si>
    <t>KPIs: test pass rate, build verification, eval-scenario metrics, milestone variance, and token efficiency (tokens wasted per retry; retry rate with vs. without read-set validation) — with corrective actions when metrics slip. Token KPIs feed the budgeting benefit model.</t>
  </si>
  <si>
    <t>Token Cost–Benefit Model — Modeled Savings from pm-substrate</t>
  </si>
  <si>
    <t>MODELED, NOT MEASURED — savings are illustrative under the stated assumptions. Replace blue inputs with eval-scenario measurements as they become available.</t>
  </si>
  <si>
    <t>Assumptions (blue = inputs)</t>
  </si>
  <si>
    <t>Agent task volume (tasks / month)</t>
  </si>
  <si>
    <t>Retry rate — baseline (no substrate)</t>
  </si>
  <si>
    <t>Retry rate — with pm-substrate</t>
  </si>
  <si>
    <t>Avg tokens wasted per retry</t>
  </si>
  <si>
    <t>Token price ($ per 1M tokens, blended)</t>
  </si>
  <si>
    <t>Modeled savings (formulas)</t>
  </si>
  <si>
    <t>Retries avoided / month</t>
  </si>
  <si>
    <t>Tokens saved / month</t>
  </si>
  <si>
    <t>$ saved / month</t>
  </si>
  <si>
    <t>$ saved / year</t>
  </si>
  <si>
    <t>Sensitivity — $ saved / year: task volume × token price</t>
  </si>
  <si>
    <t>Tasks/mo ↓  ·  $ per 1M tokens →</t>
  </si>
  <si>
    <t>Real, individually-run open-source software project: the pm-substrate GitHub repo (typed events, graph-based state, read-set validation, observation contracts, eval scenarios, Local Agents Lab Enviroment as TestBed then a Financial Hedge Fund for research and trading - which requests high in/out flow of data constantly,  finance-adapter example). Peer input welcomed on scope, PM metrics, and non-technical presentation.</t>
  </si>
  <si>
    <t>Selection submitted 7/19/2026 — awaiting instructor approval. Mark Complete and fill Topic Approved date (D8) when instructor signs off.</t>
  </si>
  <si>
    <t>Idea formulated &amp; scored 18/20 on Project Definition sheet; selection submitted 7/19/2026.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</si>
</sst>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quot;$&quot;#,##0.00"/>
    <numFmt numFmtId="166" formatCode="&quot;$&quot;#,##0"/>
  </numFmts>
  <fonts count="19" x14ac:knownFonts="1">
    <font>
      <sz val="12"/>
      <color theme="1"/>
      <name val="Aptos Narrow"/>
      <family val="2"/>
      <scheme val="minor"/>
    </font>
    <font>
      <b/>
      <sz val="12"/>
      <color theme="1"/>
      <name val="Aptos Narrow"/>
      <family val="2"/>
      <scheme val="minor"/>
    </font>
    <font>
      <sz val="10"/>
      <color theme="1"/>
      <name val="Aptos Narrow"/>
      <family val="2"/>
      <scheme val="minor"/>
    </font>
    <font>
      <b/>
      <sz val="10"/>
      <color theme="1"/>
      <name val="Aptos Narrow"/>
      <family val="2"/>
      <scheme val="minor"/>
    </font>
    <font>
      <b/>
      <sz val="10"/>
      <color rgb="FF000000"/>
      <name val="Helvetica Neue"/>
      <family val="2"/>
    </font>
    <font>
      <b/>
      <sz val="11"/>
      <color rgb="FF000000"/>
      <name val="Helvetica Neue"/>
      <family val="2"/>
    </font>
    <font>
      <b/>
      <sz val="11"/>
      <color theme="1"/>
      <name val="Aptos Narrow"/>
      <family val="2"/>
      <scheme val="minor"/>
    </font>
    <font>
      <b/>
      <sz val="12"/>
      <color theme="1"/>
      <name val="Aptos Narrow"/>
      <scheme val="minor"/>
    </font>
    <font>
      <b/>
      <sz val="16"/>
      <color rgb="FFFFFFFF"/>
      <name val="Aptos Narrow"/>
      <family val="2"/>
      <scheme val="minor"/>
    </font>
    <font>
      <b/>
      <sz val="12"/>
      <color rgb="FFFFFFFF"/>
      <name val="Aptos Narrow"/>
      <family val="2"/>
      <scheme val="minor"/>
    </font>
    <font>
      <i/>
      <sz val="10"/>
      <color rgb="FF808080"/>
      <name val="Aptos Narrow"/>
      <family val="2"/>
      <scheme val="minor"/>
    </font>
    <font>
      <b/>
      <i/>
      <sz val="10"/>
      <color rgb="FF808080"/>
      <name val="Aptos Narrow"/>
      <family val="2"/>
      <scheme val="minor"/>
    </font>
    <font>
      <sz val="10"/>
      <color rgb="FF008000"/>
      <name val="Aptos Narrow"/>
      <family val="2"/>
      <scheme val="minor"/>
    </font>
    <font>
      <sz val="10"/>
      <color rgb="FF000000"/>
      <name val="Tahoma"/>
      <family val="2"/>
    </font>
    <font>
      <b/>
      <sz val="10"/>
      <color rgb="FF000000"/>
      <name val="Tahoma"/>
      <family val="2"/>
    </font>
    <font>
      <i/>
      <sz val="10"/>
      <color rgb="FF9C0006"/>
      <name val="Aptos Narrow"/>
      <family val="2"/>
      <scheme val="minor"/>
    </font>
    <font>
      <sz val="12"/>
      <color rgb="FF0000FF"/>
      <name val="Aptos Narrow"/>
      <family val="2"/>
      <scheme val="minor"/>
    </font>
    <font>
      <i/>
      <sz val="10"/>
      <color theme="1"/>
      <name val="Aptos Narrow"/>
      <family val="2"/>
      <scheme val="minor"/>
    </font>
    <font>
      <i/>
      <sz val="12"/>
      <color theme="1"/>
      <name val="Aptos Narrow"/>
      <family val="2"/>
      <scheme val="minor"/>
    </font>
  </fonts>
  <fills count="7">
    <fill>
      <patternFill patternType="none"/>
    </fill>
    <fill>
      <patternFill patternType="gray125"/>
    </fill>
    <fill>
      <patternFill patternType="solid">
        <fgColor rgb="FFFFFF00"/>
        <bgColor indexed="64"/>
      </patternFill>
    </fill>
    <fill>
      <patternFill patternType="solid">
        <fgColor rgb="FF1F4E79"/>
        <bgColor indexed="64"/>
      </patternFill>
    </fill>
    <fill>
      <patternFill patternType="solid">
        <fgColor rgb="FFFFF2CC"/>
        <bgColor indexed="64"/>
      </patternFill>
    </fill>
    <fill>
      <patternFill patternType="solid">
        <fgColor rgb="FF2E75B6"/>
        <bgColor indexed="64"/>
      </patternFill>
    </fill>
    <fill>
      <patternFill patternType="solid">
        <fgColor rgb="FFDDEBF7"/>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55">
    <xf numFmtId="0" fontId="0" fillId="0" borderId="0" xfId="0"/>
    <xf numFmtId="0" fontId="2" fillId="0" borderId="0" xfId="0" applyFont="1" applyAlignment="1">
      <alignment horizontal="left" vertical="center"/>
    </xf>
    <xf numFmtId="0" fontId="1" fillId="2" borderId="0" xfId="0" applyFont="1" applyFill="1"/>
    <xf numFmtId="0" fontId="0" fillId="0" borderId="0" xfId="0" applyAlignment="1">
      <alignment vertical="center"/>
    </xf>
    <xf numFmtId="0" fontId="0" fillId="0" borderId="0" xfId="0" applyAlignment="1">
      <alignment horizontal="left" vertical="center" indent="2"/>
    </xf>
    <xf numFmtId="0" fontId="0" fillId="0" borderId="0" xfId="0" applyAlignment="1">
      <alignment horizontal="right" vertical="center"/>
    </xf>
    <xf numFmtId="0" fontId="0" fillId="0" borderId="0" xfId="0" quotePrefix="1" applyAlignment="1">
      <alignment horizontal="left" vertical="center" indent="2"/>
    </xf>
    <xf numFmtId="0" fontId="7" fillId="0" borderId="0" xfId="0" applyFont="1"/>
    <xf numFmtId="0" fontId="8" fillId="3" borderId="0" xfId="0" applyFont="1" applyFill="1"/>
    <xf numFmtId="0" fontId="1" fillId="0" borderId="0" xfId="0" applyFont="1"/>
    <xf numFmtId="0" fontId="0" fillId="0" borderId="1" xfId="0" applyBorder="1"/>
    <xf numFmtId="0" fontId="1" fillId="0" borderId="1" xfId="0" applyFont="1" applyBorder="1"/>
    <xf numFmtId="0" fontId="9" fillId="3" borderId="1" xfId="0" applyFont="1" applyFill="1" applyBorder="1" applyAlignment="1">
      <alignment horizontal="center" vertical="center"/>
    </xf>
    <xf numFmtId="0" fontId="9" fillId="3" borderId="1" xfId="0" applyFont="1" applyFill="1" applyBorder="1" applyAlignment="1">
      <alignment vertical="center"/>
    </xf>
    <xf numFmtId="0" fontId="0" fillId="0" borderId="1" xfId="0" applyBorder="1" applyAlignment="1">
      <alignment horizontal="center" vertical="center"/>
    </xf>
    <xf numFmtId="0" fontId="1" fillId="0" borderId="1" xfId="0" applyFont="1" applyBorder="1" applyAlignment="1">
      <alignment vertical="center"/>
    </xf>
    <xf numFmtId="0" fontId="0" fillId="0" borderId="1" xfId="0" applyBorder="1" applyAlignment="1">
      <alignment vertical="center"/>
    </xf>
    <xf numFmtId="0" fontId="0" fillId="0" borderId="1" xfId="0" applyBorder="1" applyAlignment="1">
      <alignment vertical="center" wrapText="1"/>
    </xf>
    <xf numFmtId="0" fontId="1" fillId="0" borderId="0" xfId="0" applyFont="1" applyAlignment="1">
      <alignment vertical="center"/>
    </xf>
    <xf numFmtId="0" fontId="0" fillId="4" borderId="0" xfId="0" applyFill="1" applyAlignment="1">
      <alignment vertical="center"/>
    </xf>
    <xf numFmtId="0" fontId="9" fillId="5" borderId="0" xfId="0" applyFont="1" applyFill="1"/>
    <xf numFmtId="0" fontId="1" fillId="6" borderId="1" xfId="0" applyFont="1" applyFill="1" applyBorder="1" applyAlignment="1">
      <alignment vertical="center"/>
    </xf>
    <xf numFmtId="0" fontId="1" fillId="6" borderId="1" xfId="0" applyFont="1" applyFill="1" applyBorder="1" applyAlignment="1">
      <alignment horizontal="center" vertical="center"/>
    </xf>
    <xf numFmtId="0" fontId="0" fillId="4" borderId="1" xfId="0" applyFill="1" applyBorder="1" applyAlignment="1">
      <alignment vertical="center"/>
    </xf>
    <xf numFmtId="0" fontId="1" fillId="0" borderId="1" xfId="0" applyFont="1" applyBorder="1" applyAlignment="1">
      <alignment horizontal="center" vertical="center"/>
    </xf>
    <xf numFmtId="0" fontId="1" fillId="0" borderId="1" xfId="0" applyFont="1" applyBorder="1" applyAlignment="1">
      <alignment vertical="center" wrapText="1"/>
    </xf>
    <xf numFmtId="0" fontId="1" fillId="6" borderId="1" xfId="0" applyFont="1" applyFill="1" applyBorder="1" applyAlignment="1">
      <alignment vertical="center" wrapText="1"/>
    </xf>
    <xf numFmtId="0" fontId="1" fillId="6" borderId="1" xfId="0" applyFont="1" applyFill="1" applyBorder="1" applyAlignment="1">
      <alignment horizontal="center" vertical="center" wrapText="1"/>
    </xf>
    <xf numFmtId="0" fontId="0" fillId="0" borderId="1" xfId="0" applyBorder="1" applyAlignment="1">
      <alignment horizontal="center" vertical="center" wrapText="1"/>
    </xf>
    <xf numFmtId="0" fontId="0" fillId="4" borderId="1" xfId="0" applyFill="1" applyBorder="1" applyAlignment="1">
      <alignment horizontal="center" vertical="center" wrapText="1"/>
    </xf>
    <xf numFmtId="0" fontId="0" fillId="4" borderId="1" xfId="0" applyFill="1" applyBorder="1" applyAlignment="1">
      <alignment horizontal="left" vertical="top" wrapText="1"/>
    </xf>
    <xf numFmtId="0" fontId="15" fillId="0" borderId="0" xfId="0" applyFont="1"/>
    <xf numFmtId="3" fontId="16" fillId="4" borderId="1" xfId="0" applyNumberFormat="1" applyFont="1" applyFill="1" applyBorder="1"/>
    <xf numFmtId="164" fontId="16" fillId="4" borderId="1" xfId="0" applyNumberFormat="1" applyFont="1" applyFill="1" applyBorder="1"/>
    <xf numFmtId="165" fontId="16" fillId="4" borderId="1" xfId="0" applyNumberFormat="1" applyFont="1" applyFill="1" applyBorder="1"/>
    <xf numFmtId="3" fontId="0" fillId="0" borderId="1" xfId="0" applyNumberFormat="1" applyBorder="1"/>
    <xf numFmtId="166" fontId="0" fillId="0" borderId="1" xfId="0" applyNumberFormat="1" applyBorder="1"/>
    <xf numFmtId="166" fontId="1" fillId="0" borderId="1" xfId="0" applyNumberFormat="1" applyFont="1" applyBorder="1"/>
    <xf numFmtId="0" fontId="17" fillId="0" borderId="1" xfId="0" applyFont="1" applyBorder="1"/>
    <xf numFmtId="165" fontId="1" fillId="0" borderId="1" xfId="0" applyNumberFormat="1" applyFont="1" applyBorder="1" applyAlignment="1">
      <alignment horizontal="center"/>
    </xf>
    <xf numFmtId="3" fontId="1" fillId="0" borderId="1" xfId="0" applyNumberFormat="1" applyFont="1" applyBorder="1"/>
    <xf numFmtId="166" fontId="1" fillId="2" borderId="1" xfId="0" applyNumberFormat="1" applyFont="1" applyFill="1" applyBorder="1"/>
    <xf numFmtId="0" fontId="0" fillId="3" borderId="0" xfId="0" applyFill="1"/>
    <xf numFmtId="0" fontId="0" fillId="5" borderId="0" xfId="0" applyFill="1"/>
    <xf numFmtId="0" fontId="18" fillId="0" borderId="0" xfId="0" applyFont="1"/>
    <xf numFmtId="0" fontId="2" fillId="0" borderId="1" xfId="0" applyFont="1" applyBorder="1" applyAlignment="1">
      <alignment vertical="center" wrapText="1"/>
    </xf>
    <xf numFmtId="0" fontId="0" fillId="0" borderId="1" xfId="0" applyBorder="1" applyAlignment="1">
      <alignment vertical="center" wrapText="1"/>
    </xf>
    <xf numFmtId="0" fontId="1" fillId="6" borderId="1" xfId="0" applyFont="1" applyFill="1" applyBorder="1" applyAlignment="1">
      <alignment vertical="center" wrapText="1"/>
    </xf>
    <xf numFmtId="0" fontId="12" fillId="0" borderId="1" xfId="0" applyFont="1" applyBorder="1" applyAlignment="1">
      <alignment vertical="center" wrapText="1"/>
    </xf>
    <xf numFmtId="0" fontId="9" fillId="5" borderId="0" xfId="0" applyFont="1" applyFill="1" applyAlignment="1">
      <alignment vertical="center"/>
    </xf>
    <xf numFmtId="0" fontId="8" fillId="3" borderId="0" xfId="0" applyFont="1" applyFill="1" applyAlignment="1">
      <alignment vertical="center"/>
    </xf>
    <xf numFmtId="0" fontId="10" fillId="0" borderId="0" xfId="0" applyFont="1" applyAlignment="1">
      <alignment vertical="center"/>
    </xf>
    <xf numFmtId="0" fontId="11" fillId="0" borderId="0" xfId="0" applyFont="1" applyAlignment="1">
      <alignment vertical="center"/>
    </xf>
    <xf numFmtId="0" fontId="3" fillId="2" borderId="0" xfId="0" applyFont="1" applyFill="1" applyAlignment="1">
      <alignment horizontal="left" vertical="center"/>
    </xf>
    <xf numFmtId="0" fontId="6" fillId="2" borderId="0" xfId="0" applyFont="1" applyFill="1" applyAlignment="1">
      <alignment horizontal="left"/>
    </xf>
  </cellXfs>
  <cellStyles count="1">
    <cellStyle name="Normal" xfId="0" builtinId="0"/>
  </cellStyles>
  <dxfs count="4">
    <dxf>
      <font>
        <color rgb="FF808080"/>
      </font>
      <fill>
        <patternFill patternType="solid">
          <fgColor indexed="64"/>
          <bgColor rgb="FFF2F2F2"/>
        </patternFill>
      </fill>
    </dxf>
    <dxf>
      <font>
        <color rgb="FF9C0006"/>
      </font>
      <fill>
        <patternFill patternType="solid">
          <fgColor indexed="64"/>
          <bgColor rgb="FFFFC7CE"/>
        </patternFill>
      </fill>
    </dxf>
    <dxf>
      <font>
        <color rgb="FF9C6500"/>
      </font>
      <fill>
        <patternFill patternType="solid">
          <fgColor indexed="64"/>
          <bgColor rgb="FFFFEB9C"/>
        </patternFill>
      </fill>
    </dxf>
    <dxf>
      <font>
        <color rgb="FF006100"/>
      </font>
      <fill>
        <patternFill patternType="solid">
          <fgColor indexed="64"/>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3C75AE21-EA2E-5340-B64B-B4C149E9003F}">
  <we:reference id="WA200009404" version="1.0.0.8" store="Omex" storeType="OMEX"/>
  <we:alternateReferences>
    <we:reference id="WA200009404" version="1.0.0.8" store="WA200009404" storeType="OMEX"/>
  </we:alternateReferences>
  <we:properties>
    <we:property name="claude.fileId" value="&quot;4571e3e2-dc91-4b07-a33f-4855d295df12&quot;"/>
  </we:properties>
  <we:bindings/>
  <we:snapshot xmlns:r="http://schemas.openxmlformats.org/officeDocument/2006/relationships"/>
</we:webextension>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CFE56-D963-9142-AC2F-B2EF16E946C5}">
  <dimension ref="A1:L75"/>
  <sheetViews>
    <sheetView topLeftCell="B25" workbookViewId="0">
      <selection activeCell="C54" sqref="C54"/>
    </sheetView>
  </sheetViews>
  <sheetFormatPr baseColWidth="10" defaultRowHeight="16" x14ac:dyDescent="0.2"/>
  <cols>
    <col min="1" max="1" width="5.1640625" customWidth="1"/>
    <col min="2" max="2" width="12.1640625" bestFit="1" customWidth="1"/>
  </cols>
  <sheetData>
    <row r="1" spans="1:10" x14ac:dyDescent="0.2">
      <c r="A1" s="2" t="s">
        <v>0</v>
      </c>
      <c r="B1" s="2"/>
      <c r="C1" s="2"/>
      <c r="D1" s="2"/>
      <c r="E1" s="2"/>
      <c r="F1" s="2"/>
      <c r="G1" s="2"/>
      <c r="H1" s="2"/>
      <c r="I1" s="2"/>
      <c r="J1" s="2"/>
    </row>
    <row r="2" spans="1:10" x14ac:dyDescent="0.2">
      <c r="A2" s="2"/>
      <c r="B2" s="53" t="s">
        <v>33</v>
      </c>
      <c r="C2" s="53"/>
      <c r="D2" s="53"/>
      <c r="E2" s="53"/>
      <c r="F2" s="53"/>
      <c r="G2" s="2"/>
      <c r="H2" s="2"/>
      <c r="I2" s="2"/>
      <c r="J2" s="2"/>
    </row>
    <row r="3" spans="1:10" x14ac:dyDescent="0.2">
      <c r="B3" s="1"/>
      <c r="C3" s="1"/>
      <c r="D3" s="1"/>
      <c r="E3" s="1"/>
      <c r="F3" s="1"/>
    </row>
    <row r="4" spans="1:10" x14ac:dyDescent="0.2">
      <c r="A4">
        <v>1</v>
      </c>
      <c r="B4" t="s">
        <v>1</v>
      </c>
    </row>
    <row r="5" spans="1:10" x14ac:dyDescent="0.2">
      <c r="A5">
        <v>2</v>
      </c>
      <c r="B5" t="s">
        <v>2</v>
      </c>
    </row>
    <row r="7" spans="1:10" x14ac:dyDescent="0.2">
      <c r="B7" s="7" t="s">
        <v>4</v>
      </c>
    </row>
    <row r="8" spans="1:10" x14ac:dyDescent="0.2">
      <c r="A8">
        <v>1</v>
      </c>
      <c r="B8" t="s">
        <v>3</v>
      </c>
    </row>
    <row r="9" spans="1:10" x14ac:dyDescent="0.2">
      <c r="A9">
        <v>2</v>
      </c>
      <c r="B9" t="s">
        <v>6</v>
      </c>
    </row>
    <row r="11" spans="1:10" x14ac:dyDescent="0.2">
      <c r="B11" s="7" t="s">
        <v>5</v>
      </c>
    </row>
    <row r="12" spans="1:10" x14ac:dyDescent="0.2">
      <c r="B12">
        <v>1</v>
      </c>
      <c r="C12" t="s">
        <v>7</v>
      </c>
    </row>
    <row r="13" spans="1:10" x14ac:dyDescent="0.2">
      <c r="B13">
        <v>2</v>
      </c>
      <c r="C13" t="s">
        <v>8</v>
      </c>
    </row>
    <row r="14" spans="1:10" x14ac:dyDescent="0.2">
      <c r="B14">
        <v>3</v>
      </c>
      <c r="C14" t="s">
        <v>9</v>
      </c>
    </row>
    <row r="16" spans="1:10" x14ac:dyDescent="0.2">
      <c r="B16" s="7" t="s">
        <v>10</v>
      </c>
    </row>
    <row r="17" spans="2:4" x14ac:dyDescent="0.2">
      <c r="B17" s="6" t="s">
        <v>11</v>
      </c>
    </row>
    <row r="18" spans="2:4" x14ac:dyDescent="0.2">
      <c r="B18" s="5">
        <v>1</v>
      </c>
      <c r="C18" t="s">
        <v>12</v>
      </c>
    </row>
    <row r="19" spans="2:4" x14ac:dyDescent="0.2">
      <c r="B19" s="5">
        <v>2</v>
      </c>
      <c r="C19" t="s">
        <v>13</v>
      </c>
    </row>
    <row r="20" spans="2:4" x14ac:dyDescent="0.2">
      <c r="B20" s="5">
        <v>3</v>
      </c>
      <c r="C20" t="s">
        <v>14</v>
      </c>
    </row>
    <row r="21" spans="2:4" x14ac:dyDescent="0.2">
      <c r="B21" s="4"/>
    </row>
    <row r="22" spans="2:4" x14ac:dyDescent="0.2">
      <c r="B22" s="4" t="s">
        <v>15</v>
      </c>
    </row>
    <row r="23" spans="2:4" x14ac:dyDescent="0.2">
      <c r="B23">
        <v>1</v>
      </c>
      <c r="C23" t="s">
        <v>16</v>
      </c>
    </row>
    <row r="24" spans="2:4" x14ac:dyDescent="0.2">
      <c r="C24">
        <v>1</v>
      </c>
      <c r="D24" t="s">
        <v>17</v>
      </c>
    </row>
    <row r="25" spans="2:4" x14ac:dyDescent="0.2">
      <c r="C25">
        <v>2</v>
      </c>
      <c r="D25" t="s">
        <v>18</v>
      </c>
    </row>
    <row r="26" spans="2:4" x14ac:dyDescent="0.2">
      <c r="C26">
        <v>3</v>
      </c>
      <c r="D26" t="s">
        <v>19</v>
      </c>
    </row>
    <row r="27" spans="2:4" x14ac:dyDescent="0.2">
      <c r="C27">
        <v>4</v>
      </c>
      <c r="D27" t="s">
        <v>20</v>
      </c>
    </row>
    <row r="28" spans="2:4" x14ac:dyDescent="0.2">
      <c r="C28">
        <v>5</v>
      </c>
      <c r="D28" t="s">
        <v>21</v>
      </c>
    </row>
    <row r="29" spans="2:4" x14ac:dyDescent="0.2">
      <c r="C29">
        <v>6</v>
      </c>
      <c r="D29" t="s">
        <v>22</v>
      </c>
    </row>
    <row r="30" spans="2:4" x14ac:dyDescent="0.2">
      <c r="C30">
        <v>7</v>
      </c>
      <c r="D30" t="s">
        <v>23</v>
      </c>
    </row>
    <row r="32" spans="2:4" x14ac:dyDescent="0.2">
      <c r="B32">
        <v>2</v>
      </c>
      <c r="C32" t="s">
        <v>24</v>
      </c>
    </row>
    <row r="33" spans="2:12" x14ac:dyDescent="0.2">
      <c r="B33">
        <v>3</v>
      </c>
      <c r="C33" t="s">
        <v>25</v>
      </c>
    </row>
    <row r="34" spans="2:12" x14ac:dyDescent="0.2">
      <c r="B34" s="4"/>
    </row>
    <row r="35" spans="2:12" x14ac:dyDescent="0.2">
      <c r="B35" s="4" t="s">
        <v>26</v>
      </c>
    </row>
    <row r="36" spans="2:12" x14ac:dyDescent="0.2">
      <c r="B36">
        <v>1</v>
      </c>
      <c r="C36" t="s">
        <v>27</v>
      </c>
    </row>
    <row r="37" spans="2:12" x14ac:dyDescent="0.2">
      <c r="B37">
        <v>2</v>
      </c>
      <c r="C37" t="s">
        <v>28</v>
      </c>
    </row>
    <row r="38" spans="2:12" x14ac:dyDescent="0.2">
      <c r="B38">
        <v>3</v>
      </c>
      <c r="C38" t="s">
        <v>29</v>
      </c>
    </row>
    <row r="39" spans="2:12" x14ac:dyDescent="0.2">
      <c r="B39" s="4"/>
    </row>
    <row r="40" spans="2:12" x14ac:dyDescent="0.2">
      <c r="B40" s="4"/>
    </row>
    <row r="41" spans="2:12" x14ac:dyDescent="0.2">
      <c r="B41" s="4" t="s">
        <v>30</v>
      </c>
    </row>
    <row r="42" spans="2:12" x14ac:dyDescent="0.2">
      <c r="B42">
        <v>1</v>
      </c>
      <c r="C42" t="s">
        <v>31</v>
      </c>
    </row>
    <row r="43" spans="2:12" x14ac:dyDescent="0.2">
      <c r="B43">
        <v>2</v>
      </c>
      <c r="C43" t="s">
        <v>32</v>
      </c>
    </row>
    <row r="45" spans="2:12" x14ac:dyDescent="0.2">
      <c r="C45" s="54" t="s">
        <v>34</v>
      </c>
      <c r="D45" s="54"/>
      <c r="E45" s="54"/>
      <c r="F45" s="54"/>
      <c r="G45" s="54"/>
      <c r="H45" s="54"/>
      <c r="I45" s="54"/>
      <c r="J45" s="54"/>
      <c r="K45" s="54"/>
      <c r="L45" s="54"/>
    </row>
    <row r="48" spans="2:12" x14ac:dyDescent="0.2">
      <c r="B48" t="s">
        <v>49</v>
      </c>
    </row>
    <row r="50" spans="2:4" x14ac:dyDescent="0.2">
      <c r="B50" t="s">
        <v>49</v>
      </c>
    </row>
    <row r="51" spans="2:4" x14ac:dyDescent="0.2">
      <c r="B51" t="s">
        <v>50</v>
      </c>
      <c r="C51" t="s">
        <v>51</v>
      </c>
      <c r="D51" t="s">
        <v>52</v>
      </c>
    </row>
    <row r="52" spans="2:4" x14ac:dyDescent="0.2">
      <c r="B52" t="s">
        <v>53</v>
      </c>
      <c r="C52" t="s">
        <v>64</v>
      </c>
      <c r="D52" t="s">
        <v>54</v>
      </c>
    </row>
    <row r="53" spans="2:4" x14ac:dyDescent="0.2">
      <c r="C53" t="s">
        <v>124</v>
      </c>
    </row>
    <row r="54" spans="2:4" x14ac:dyDescent="0.2">
      <c r="C54" t="s">
        <v>65</v>
      </c>
    </row>
    <row r="55" spans="2:4" x14ac:dyDescent="0.2">
      <c r="C55" t="s">
        <v>66</v>
      </c>
    </row>
    <row r="56" spans="2:4" x14ac:dyDescent="0.2">
      <c r="B56" t="s">
        <v>55</v>
      </c>
      <c r="C56" t="s">
        <v>67</v>
      </c>
      <c r="D56" t="s">
        <v>56</v>
      </c>
    </row>
    <row r="57" spans="2:4" x14ac:dyDescent="0.2">
      <c r="C57" t="s">
        <v>68</v>
      </c>
    </row>
    <row r="58" spans="2:4" x14ac:dyDescent="0.2">
      <c r="C58" t="s">
        <v>69</v>
      </c>
    </row>
    <row r="59" spans="2:4" x14ac:dyDescent="0.2">
      <c r="C59" t="s">
        <v>70</v>
      </c>
    </row>
    <row r="60" spans="2:4" x14ac:dyDescent="0.2">
      <c r="B60" t="s">
        <v>57</v>
      </c>
      <c r="C60" t="s">
        <v>71</v>
      </c>
      <c r="D60" t="s">
        <v>54</v>
      </c>
    </row>
    <row r="61" spans="2:4" x14ac:dyDescent="0.2">
      <c r="C61" t="s">
        <v>72</v>
      </c>
    </row>
    <row r="62" spans="2:4" x14ac:dyDescent="0.2">
      <c r="C62" t="s">
        <v>73</v>
      </c>
    </row>
    <row r="63" spans="2:4" x14ac:dyDescent="0.2">
      <c r="C63" t="s">
        <v>74</v>
      </c>
    </row>
    <row r="64" spans="2:4" x14ac:dyDescent="0.2">
      <c r="B64" t="s">
        <v>58</v>
      </c>
      <c r="C64" t="s">
        <v>75</v>
      </c>
      <c r="D64" t="s">
        <v>59</v>
      </c>
    </row>
    <row r="65" spans="2:4" x14ac:dyDescent="0.2">
      <c r="C65" t="s">
        <v>76</v>
      </c>
    </row>
    <row r="66" spans="2:4" x14ac:dyDescent="0.2">
      <c r="C66" t="s">
        <v>77</v>
      </c>
    </row>
    <row r="67" spans="2:4" x14ac:dyDescent="0.2">
      <c r="C67" t="s">
        <v>78</v>
      </c>
    </row>
    <row r="68" spans="2:4" x14ac:dyDescent="0.2">
      <c r="B68" t="s">
        <v>60</v>
      </c>
      <c r="C68" t="s">
        <v>79</v>
      </c>
      <c r="D68" t="s">
        <v>61</v>
      </c>
    </row>
    <row r="69" spans="2:4" x14ac:dyDescent="0.2">
      <c r="C69" t="s">
        <v>80</v>
      </c>
    </row>
    <row r="70" spans="2:4" x14ac:dyDescent="0.2">
      <c r="C70" t="s">
        <v>81</v>
      </c>
    </row>
    <row r="71" spans="2:4" x14ac:dyDescent="0.2">
      <c r="C71" t="s">
        <v>82</v>
      </c>
    </row>
    <row r="72" spans="2:4" x14ac:dyDescent="0.2">
      <c r="B72" t="s">
        <v>62</v>
      </c>
      <c r="C72" t="s">
        <v>83</v>
      </c>
      <c r="D72" t="s">
        <v>63</v>
      </c>
    </row>
    <row r="73" spans="2:4" x14ac:dyDescent="0.2">
      <c r="C73" t="s">
        <v>84</v>
      </c>
    </row>
    <row r="74" spans="2:4" x14ac:dyDescent="0.2">
      <c r="C74" t="s">
        <v>85</v>
      </c>
    </row>
    <row r="75" spans="2:4" x14ac:dyDescent="0.2">
      <c r="C75" t="s">
        <v>86</v>
      </c>
    </row>
  </sheetData>
  <mergeCells count="2">
    <mergeCell ref="B2:F2"/>
    <mergeCell ref="C45:L45"/>
  </mergeCells>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0171C-3B6C-9344-81C4-F76A6F035CD7}">
  <dimension ref="A2:H29"/>
  <sheetViews>
    <sheetView workbookViewId="0">
      <selection activeCell="E19" sqref="E19"/>
    </sheetView>
  </sheetViews>
  <sheetFormatPr baseColWidth="10" defaultRowHeight="16" x14ac:dyDescent="0.2"/>
  <cols>
    <col min="1" max="1" width="3.33203125" customWidth="1"/>
    <col min="2" max="2" width="20" customWidth="1"/>
    <col min="3" max="3" width="15" customWidth="1"/>
    <col min="4" max="4" width="43.33203125" customWidth="1"/>
    <col min="5" max="5" width="15" customWidth="1"/>
    <col min="6" max="6" width="11.6640625" customWidth="1"/>
    <col min="7" max="7" width="15.83203125" customWidth="1"/>
    <col min="8" max="8" width="36.6640625" customWidth="1"/>
  </cols>
  <sheetData>
    <row r="2" spans="1:8" ht="22" x14ac:dyDescent="0.3">
      <c r="B2" s="8" t="s">
        <v>35</v>
      </c>
    </row>
    <row r="4" spans="1:8" x14ac:dyDescent="0.2">
      <c r="A4" s="3"/>
      <c r="B4" s="18" t="s">
        <v>36</v>
      </c>
      <c r="C4" s="3"/>
      <c r="D4" s="19" t="s">
        <v>198</v>
      </c>
      <c r="F4" s="9" t="s">
        <v>125</v>
      </c>
      <c r="G4" s="9" t="str">
        <f>COUNTIF(G11:G29,"Complete")&amp;" / "&amp;COUNTA(G11:G29)&amp;" complete ("&amp;TEXT(COUNTIF(G11:G29,"Complete")/COUNTA(G11:G29),"0%")&amp;")"</f>
        <v>2 / 19 complete (11%)</v>
      </c>
    </row>
    <row r="5" spans="1:8" x14ac:dyDescent="0.2">
      <c r="A5" s="3"/>
      <c r="B5" s="18" t="s">
        <v>37</v>
      </c>
      <c r="C5" s="3"/>
      <c r="D5" s="19" t="s">
        <v>199</v>
      </c>
    </row>
    <row r="6" spans="1:8" x14ac:dyDescent="0.2">
      <c r="A6" s="3"/>
      <c r="B6" s="18" t="s">
        <v>38</v>
      </c>
      <c r="C6" s="3"/>
      <c r="D6" s="19" t="s">
        <v>200</v>
      </c>
    </row>
    <row r="7" spans="1:8" x14ac:dyDescent="0.2">
      <c r="A7" s="3"/>
      <c r="B7" s="18" t="s">
        <v>39</v>
      </c>
      <c r="C7" s="3"/>
      <c r="D7" s="19" t="s">
        <v>201</v>
      </c>
    </row>
    <row r="8" spans="1:8" x14ac:dyDescent="0.2">
      <c r="A8" s="3"/>
      <c r="B8" s="18" t="s">
        <v>40</v>
      </c>
      <c r="C8" s="3"/>
      <c r="D8" s="19"/>
    </row>
    <row r="10" spans="1:8" x14ac:dyDescent="0.2">
      <c r="A10" s="12" t="s">
        <v>41</v>
      </c>
      <c r="B10" s="13" t="s">
        <v>42</v>
      </c>
      <c r="C10" s="13" t="s">
        <v>43</v>
      </c>
      <c r="D10" s="13" t="s">
        <v>44</v>
      </c>
      <c r="E10" s="13" t="s">
        <v>45</v>
      </c>
      <c r="F10" s="12" t="s">
        <v>46</v>
      </c>
      <c r="G10" s="12" t="s">
        <v>47</v>
      </c>
      <c r="H10" s="13" t="s">
        <v>48</v>
      </c>
    </row>
    <row r="11" spans="1:8" ht="51" x14ac:dyDescent="0.2">
      <c r="A11" s="14">
        <v>1</v>
      </c>
      <c r="B11" s="15" t="s">
        <v>87</v>
      </c>
      <c r="C11" s="16" t="s">
        <v>88</v>
      </c>
      <c r="D11" s="17" t="s">
        <v>89</v>
      </c>
      <c r="E11" s="16"/>
      <c r="F11" s="14">
        <v>4</v>
      </c>
      <c r="G11" s="14" t="s">
        <v>203</v>
      </c>
      <c r="H11" s="16" t="s">
        <v>224</v>
      </c>
    </row>
    <row r="12" spans="1:8" ht="17" x14ac:dyDescent="0.2">
      <c r="A12" s="14">
        <v>2</v>
      </c>
      <c r="B12" s="15" t="s">
        <v>91</v>
      </c>
      <c r="C12" s="16" t="s">
        <v>88</v>
      </c>
      <c r="D12" s="17" t="s">
        <v>92</v>
      </c>
      <c r="E12" s="16"/>
      <c r="F12" s="14">
        <v>4</v>
      </c>
      <c r="G12" s="14" t="s">
        <v>203</v>
      </c>
      <c r="H12" s="16" t="s">
        <v>204</v>
      </c>
    </row>
    <row r="13" spans="1:8" ht="17" x14ac:dyDescent="0.2">
      <c r="A13" s="14">
        <v>3</v>
      </c>
      <c r="B13" s="15" t="s">
        <v>93</v>
      </c>
      <c r="C13" s="16" t="s">
        <v>88</v>
      </c>
      <c r="D13" s="17" t="s">
        <v>94</v>
      </c>
      <c r="E13" s="16"/>
      <c r="F13" s="14">
        <v>4</v>
      </c>
      <c r="G13" s="14" t="s">
        <v>202</v>
      </c>
      <c r="H13" s="16" t="s">
        <v>223</v>
      </c>
    </row>
    <row r="14" spans="1:8" ht="17" x14ac:dyDescent="0.2">
      <c r="A14" s="14">
        <v>4</v>
      </c>
      <c r="B14" s="15" t="s">
        <v>17</v>
      </c>
      <c r="C14" s="16" t="s">
        <v>95</v>
      </c>
      <c r="D14" s="17" t="s">
        <v>96</v>
      </c>
      <c r="E14" s="16"/>
      <c r="F14" s="14"/>
      <c r="G14" s="14" t="s">
        <v>90</v>
      </c>
      <c r="H14" s="16"/>
    </row>
    <row r="15" spans="1:8" ht="17" x14ac:dyDescent="0.2">
      <c r="A15" s="14">
        <v>5</v>
      </c>
      <c r="B15" s="15" t="s">
        <v>18</v>
      </c>
      <c r="C15" s="16" t="s">
        <v>95</v>
      </c>
      <c r="D15" s="17" t="s">
        <v>97</v>
      </c>
      <c r="E15" s="16"/>
      <c r="F15" s="14"/>
      <c r="G15" s="14" t="s">
        <v>90</v>
      </c>
      <c r="H15" s="16"/>
    </row>
    <row r="16" spans="1:8" ht="17" x14ac:dyDescent="0.2">
      <c r="A16" s="14">
        <v>6</v>
      </c>
      <c r="B16" s="15" t="s">
        <v>19</v>
      </c>
      <c r="C16" s="16" t="s">
        <v>95</v>
      </c>
      <c r="D16" s="17" t="s">
        <v>98</v>
      </c>
      <c r="E16" s="16"/>
      <c r="F16" s="14"/>
      <c r="G16" s="14" t="s">
        <v>90</v>
      </c>
      <c r="H16" s="16"/>
    </row>
    <row r="17" spans="1:8" ht="17" x14ac:dyDescent="0.2">
      <c r="A17" s="14">
        <v>7</v>
      </c>
      <c r="B17" s="15" t="s">
        <v>99</v>
      </c>
      <c r="C17" s="16" t="s">
        <v>95</v>
      </c>
      <c r="D17" s="17" t="s">
        <v>100</v>
      </c>
      <c r="E17" s="16"/>
      <c r="F17" s="14"/>
      <c r="G17" s="14" t="s">
        <v>90</v>
      </c>
      <c r="H17" s="16"/>
    </row>
    <row r="18" spans="1:8" ht="17" x14ac:dyDescent="0.2">
      <c r="A18" s="14">
        <v>8</v>
      </c>
      <c r="B18" s="15" t="s">
        <v>21</v>
      </c>
      <c r="C18" s="16" t="s">
        <v>95</v>
      </c>
      <c r="D18" s="17" t="s">
        <v>101</v>
      </c>
      <c r="E18" s="16"/>
      <c r="F18" s="14"/>
      <c r="G18" s="14" t="s">
        <v>90</v>
      </c>
      <c r="H18" s="16"/>
    </row>
    <row r="19" spans="1:8" ht="34" x14ac:dyDescent="0.2">
      <c r="A19" s="14">
        <v>9</v>
      </c>
      <c r="B19" s="15" t="s">
        <v>22</v>
      </c>
      <c r="C19" s="16" t="s">
        <v>95</v>
      </c>
      <c r="D19" s="17" t="s">
        <v>102</v>
      </c>
      <c r="E19" s="16"/>
      <c r="F19" s="14"/>
      <c r="G19" s="14" t="s">
        <v>90</v>
      </c>
      <c r="H19" s="16"/>
    </row>
    <row r="20" spans="1:8" ht="34" x14ac:dyDescent="0.2">
      <c r="A20" s="14">
        <v>10</v>
      </c>
      <c r="B20" s="15" t="s">
        <v>103</v>
      </c>
      <c r="C20" s="16" t="s">
        <v>95</v>
      </c>
      <c r="D20" s="17" t="s">
        <v>104</v>
      </c>
      <c r="E20" s="16"/>
      <c r="F20" s="14"/>
      <c r="G20" s="14" t="s">
        <v>90</v>
      </c>
      <c r="H20" s="16"/>
    </row>
    <row r="21" spans="1:8" ht="34" x14ac:dyDescent="0.2">
      <c r="A21" s="14">
        <v>11</v>
      </c>
      <c r="B21" s="15" t="s">
        <v>105</v>
      </c>
      <c r="C21" s="16" t="s">
        <v>95</v>
      </c>
      <c r="D21" s="17" t="s">
        <v>106</v>
      </c>
      <c r="E21" s="16"/>
      <c r="F21" s="14"/>
      <c r="G21" s="14" t="s">
        <v>90</v>
      </c>
      <c r="H21" s="16"/>
    </row>
    <row r="22" spans="1:8" ht="34" x14ac:dyDescent="0.2">
      <c r="A22" s="14">
        <v>12</v>
      </c>
      <c r="B22" s="15" t="s">
        <v>107</v>
      </c>
      <c r="C22" s="16" t="s">
        <v>95</v>
      </c>
      <c r="D22" s="17" t="s">
        <v>108</v>
      </c>
      <c r="E22" s="16"/>
      <c r="F22" s="14"/>
      <c r="G22" s="14" t="s">
        <v>90</v>
      </c>
      <c r="H22" s="16"/>
    </row>
    <row r="23" spans="1:8" ht="34" x14ac:dyDescent="0.2">
      <c r="A23" s="14">
        <v>13</v>
      </c>
      <c r="B23" s="15" t="s">
        <v>109</v>
      </c>
      <c r="C23" s="16" t="s">
        <v>110</v>
      </c>
      <c r="D23" s="17" t="s">
        <v>111</v>
      </c>
      <c r="E23" s="16"/>
      <c r="F23" s="14"/>
      <c r="G23" s="14" t="s">
        <v>90</v>
      </c>
      <c r="H23" s="16"/>
    </row>
    <row r="24" spans="1:8" ht="34" x14ac:dyDescent="0.2">
      <c r="A24" s="14">
        <v>14</v>
      </c>
      <c r="B24" s="15" t="s">
        <v>112</v>
      </c>
      <c r="C24" s="16" t="s">
        <v>110</v>
      </c>
      <c r="D24" s="17" t="s">
        <v>113</v>
      </c>
      <c r="E24" s="16"/>
      <c r="F24" s="14"/>
      <c r="G24" s="14" t="s">
        <v>90</v>
      </c>
      <c r="H24" s="16"/>
    </row>
    <row r="25" spans="1:8" ht="17" x14ac:dyDescent="0.2">
      <c r="A25" s="14">
        <v>15</v>
      </c>
      <c r="B25" s="15" t="s">
        <v>114</v>
      </c>
      <c r="C25" s="16" t="s">
        <v>110</v>
      </c>
      <c r="D25" s="17" t="s">
        <v>115</v>
      </c>
      <c r="E25" s="16"/>
      <c r="F25" s="14">
        <v>13</v>
      </c>
      <c r="G25" s="14" t="s">
        <v>90</v>
      </c>
      <c r="H25" s="16"/>
    </row>
    <row r="26" spans="1:8" ht="34" x14ac:dyDescent="0.2">
      <c r="A26" s="14">
        <v>16</v>
      </c>
      <c r="B26" s="15" t="s">
        <v>116</v>
      </c>
      <c r="C26" s="16" t="s">
        <v>110</v>
      </c>
      <c r="D26" s="17" t="s">
        <v>117</v>
      </c>
      <c r="E26" s="16"/>
      <c r="F26" s="14">
        <v>13</v>
      </c>
      <c r="G26" s="14" t="s">
        <v>90</v>
      </c>
      <c r="H26" s="16"/>
    </row>
    <row r="27" spans="1:8" ht="17" x14ac:dyDescent="0.2">
      <c r="A27" s="14">
        <v>17</v>
      </c>
      <c r="B27" s="15" t="s">
        <v>118</v>
      </c>
      <c r="C27" s="16" t="s">
        <v>30</v>
      </c>
      <c r="D27" s="17" t="s">
        <v>119</v>
      </c>
      <c r="E27" s="16"/>
      <c r="F27" s="14">
        <v>14</v>
      </c>
      <c r="G27" s="14" t="s">
        <v>90</v>
      </c>
      <c r="H27" s="16"/>
    </row>
    <row r="28" spans="1:8" ht="34" x14ac:dyDescent="0.2">
      <c r="A28" s="14">
        <v>18</v>
      </c>
      <c r="B28" s="15" t="s">
        <v>120</v>
      </c>
      <c r="C28" s="16" t="s">
        <v>30</v>
      </c>
      <c r="D28" s="17" t="s">
        <v>121</v>
      </c>
      <c r="E28" s="16"/>
      <c r="F28" s="14">
        <v>14</v>
      </c>
      <c r="G28" s="14" t="s">
        <v>90</v>
      </c>
      <c r="H28" s="16"/>
    </row>
    <row r="29" spans="1:8" ht="17" x14ac:dyDescent="0.2">
      <c r="A29" s="14">
        <v>19</v>
      </c>
      <c r="B29" s="15" t="s">
        <v>122</v>
      </c>
      <c r="C29" s="16" t="s">
        <v>30</v>
      </c>
      <c r="D29" s="17" t="s">
        <v>123</v>
      </c>
      <c r="E29" s="16"/>
      <c r="F29" s="14">
        <v>14</v>
      </c>
      <c r="G29" s="14" t="s">
        <v>90</v>
      </c>
      <c r="H29" s="16"/>
    </row>
  </sheetData>
  <conditionalFormatting sqref="G11:G29">
    <cfRule type="expression" priority="1"/>
    <cfRule type="containsText" dxfId="3" priority="2" operator="containsText" text="Complete">
      <formula>NOT(ISERROR(SEARCH("Complete",G11)))</formula>
    </cfRule>
    <cfRule type="containsText" dxfId="2" priority="3" operator="containsText" text="In Progress">
      <formula>NOT(ISERROR(SEARCH("In Progress",G11)))</formula>
    </cfRule>
    <cfRule type="containsText" dxfId="1" priority="4" operator="containsText" text="Blocked">
      <formula>NOT(ISERROR(SEARCH("Blocked",G11)))</formula>
    </cfRule>
    <cfRule type="containsText" dxfId="0" priority="5" operator="containsText" text="Not Started">
      <formula>NOT(ISERROR(SEARCH("Not Started",G11)))</formula>
    </cfRule>
  </conditionalFormatting>
  <dataValidations count="1">
    <dataValidation type="list" allowBlank="1" showInputMessage="1" showErrorMessage="1" sqref="G11:G29" xr:uid="{56920402-8061-ED46-92DE-513D6456BC57}">
      <formula1>"Not Started,In Progress,Complete,Blocked"</formula1>
    </dataValidation>
  </dataValidations>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1C383-596D-224B-84F7-99DF09C47EDF}">
  <dimension ref="B2:G44"/>
  <sheetViews>
    <sheetView workbookViewId="0">
      <selection activeCell="F45" sqref="F45"/>
    </sheetView>
  </sheetViews>
  <sheetFormatPr baseColWidth="10" defaultRowHeight="16" x14ac:dyDescent="0.2"/>
  <cols>
    <col min="1" max="1" width="3.33203125" customWidth="1"/>
    <col min="2" max="2" width="33.33203125" customWidth="1"/>
    <col min="3" max="5" width="17.5" customWidth="1"/>
    <col min="6" max="6" width="28" customWidth="1"/>
    <col min="7" max="7" width="32.1640625" customWidth="1"/>
  </cols>
  <sheetData>
    <row r="2" spans="2:7" ht="22" x14ac:dyDescent="0.2">
      <c r="B2" s="50" t="s">
        <v>126</v>
      </c>
      <c r="C2" s="50"/>
      <c r="D2" s="50"/>
      <c r="E2" s="50"/>
      <c r="F2" s="50"/>
      <c r="G2" s="50"/>
    </row>
    <row r="3" spans="2:7" x14ac:dyDescent="0.2">
      <c r="B3" s="3"/>
      <c r="C3" s="3"/>
      <c r="D3" s="3"/>
      <c r="E3" s="3"/>
      <c r="F3" s="3"/>
      <c r="G3" s="3"/>
    </row>
    <row r="4" spans="2:7" x14ac:dyDescent="0.2">
      <c r="B4" s="49" t="s">
        <v>127</v>
      </c>
      <c r="C4" s="49"/>
      <c r="D4" s="49"/>
      <c r="E4" s="49"/>
      <c r="F4" s="49"/>
      <c r="G4" s="49"/>
    </row>
    <row r="5" spans="2:7" x14ac:dyDescent="0.2">
      <c r="B5" s="21" t="s">
        <v>128</v>
      </c>
      <c r="C5" s="22" t="s">
        <v>129</v>
      </c>
      <c r="D5" s="22" t="s">
        <v>130</v>
      </c>
      <c r="E5" s="22" t="s">
        <v>131</v>
      </c>
      <c r="F5" s="22" t="s">
        <v>132</v>
      </c>
      <c r="G5" s="22" t="s">
        <v>133</v>
      </c>
    </row>
    <row r="6" spans="2:7" ht="68" x14ac:dyDescent="0.2">
      <c r="B6" s="30" t="s">
        <v>171</v>
      </c>
      <c r="C6" s="29">
        <v>4</v>
      </c>
      <c r="D6" s="29">
        <v>5</v>
      </c>
      <c r="E6" s="29">
        <v>5</v>
      </c>
      <c r="F6" s="29">
        <v>4</v>
      </c>
      <c r="G6" s="24">
        <f>IF(COUNT(C6:F6)=0,"",SUM(C6:F6))</f>
        <v>18</v>
      </c>
    </row>
    <row r="7" spans="2:7" x14ac:dyDescent="0.2">
      <c r="B7" s="23"/>
      <c r="C7" s="29"/>
      <c r="D7" s="29"/>
      <c r="E7" s="29"/>
      <c r="F7" s="29"/>
      <c r="G7" s="24" t="str">
        <f t="shared" ref="G7:G8" si="0">IF(COUNT(C7:F7)=0,"",SUM(C7:F7))</f>
        <v/>
      </c>
    </row>
    <row r="8" spans="2:7" x14ac:dyDescent="0.2">
      <c r="B8" s="23"/>
      <c r="C8" s="29"/>
      <c r="D8" s="29"/>
      <c r="E8" s="29"/>
      <c r="F8" s="29"/>
      <c r="G8" s="24" t="str">
        <f t="shared" si="0"/>
        <v/>
      </c>
    </row>
    <row r="9" spans="2:7" x14ac:dyDescent="0.2">
      <c r="B9" s="51" t="s">
        <v>134</v>
      </c>
      <c r="C9" s="51"/>
      <c r="D9" s="51"/>
      <c r="E9" s="51"/>
      <c r="F9" s="51"/>
      <c r="G9" s="51"/>
    </row>
    <row r="10" spans="2:7" x14ac:dyDescent="0.2">
      <c r="B10" s="3"/>
      <c r="C10" s="3"/>
      <c r="D10" s="3"/>
      <c r="E10" s="3"/>
      <c r="F10" s="3"/>
      <c r="G10" s="3"/>
    </row>
    <row r="11" spans="2:7" x14ac:dyDescent="0.2">
      <c r="B11" s="49" t="s">
        <v>135</v>
      </c>
      <c r="C11" s="49"/>
      <c r="D11" s="49"/>
      <c r="E11" s="49"/>
      <c r="F11" s="49"/>
      <c r="G11" s="49"/>
    </row>
    <row r="12" spans="2:7" ht="46" customHeight="1" x14ac:dyDescent="0.2">
      <c r="B12" s="15" t="s">
        <v>136</v>
      </c>
      <c r="C12" s="46" t="s">
        <v>172</v>
      </c>
      <c r="D12" s="46"/>
      <c r="E12" s="46"/>
      <c r="F12" s="46"/>
      <c r="G12" s="46"/>
    </row>
    <row r="13" spans="2:7" ht="35" customHeight="1" x14ac:dyDescent="0.2">
      <c r="B13" s="15" t="s">
        <v>137</v>
      </c>
      <c r="C13" s="46" t="s">
        <v>173</v>
      </c>
      <c r="D13" s="46"/>
      <c r="E13" s="46"/>
      <c r="F13" s="46"/>
      <c r="G13" s="46"/>
    </row>
    <row r="14" spans="2:7" ht="60" customHeight="1" x14ac:dyDescent="0.2">
      <c r="B14" s="15" t="s">
        <v>138</v>
      </c>
      <c r="C14" s="46" t="s">
        <v>222</v>
      </c>
      <c r="D14" s="46"/>
      <c r="E14" s="46"/>
      <c r="F14" s="46"/>
      <c r="G14" s="46"/>
    </row>
    <row r="15" spans="2:7" ht="60" customHeight="1" x14ac:dyDescent="0.2">
      <c r="B15" s="15" t="s">
        <v>139</v>
      </c>
      <c r="C15" s="46" t="s">
        <v>174</v>
      </c>
      <c r="D15" s="46"/>
      <c r="E15" s="46"/>
      <c r="F15" s="46"/>
      <c r="G15" s="46"/>
    </row>
    <row r="16" spans="2:7" ht="67" customHeight="1" x14ac:dyDescent="0.2">
      <c r="B16" s="15" t="s">
        <v>140</v>
      </c>
      <c r="C16" s="46" t="s">
        <v>175</v>
      </c>
      <c r="D16" s="46"/>
      <c r="E16" s="46"/>
      <c r="F16" s="46"/>
      <c r="G16" s="46"/>
    </row>
    <row r="17" spans="2:7" x14ac:dyDescent="0.2">
      <c r="B17" s="52" t="s">
        <v>141</v>
      </c>
      <c r="C17" s="52"/>
      <c r="D17" s="52"/>
      <c r="E17" s="52"/>
      <c r="F17" s="52"/>
      <c r="G17" s="52"/>
    </row>
    <row r="18" spans="2:7" x14ac:dyDescent="0.2">
      <c r="B18" s="3"/>
      <c r="C18" s="3"/>
      <c r="D18" s="3"/>
      <c r="E18" s="3"/>
      <c r="F18" s="3"/>
      <c r="G18" s="3"/>
    </row>
    <row r="19" spans="2:7" x14ac:dyDescent="0.2">
      <c r="B19" s="49" t="s">
        <v>142</v>
      </c>
      <c r="C19" s="49"/>
      <c r="D19" s="49"/>
      <c r="E19" s="49"/>
      <c r="F19" s="49"/>
      <c r="G19" s="49"/>
    </row>
    <row r="20" spans="2:7" ht="69" customHeight="1" x14ac:dyDescent="0.2">
      <c r="B20" s="25" t="s">
        <v>143</v>
      </c>
      <c r="C20" s="46" t="s">
        <v>176</v>
      </c>
      <c r="D20" s="46"/>
      <c r="E20" s="46"/>
      <c r="F20" s="46"/>
      <c r="G20" s="46"/>
    </row>
    <row r="21" spans="2:7" x14ac:dyDescent="0.2">
      <c r="B21" s="17"/>
      <c r="C21" s="47" t="s">
        <v>144</v>
      </c>
      <c r="D21" s="47"/>
      <c r="E21" s="47"/>
      <c r="F21" s="47" t="s">
        <v>145</v>
      </c>
      <c r="G21" s="47"/>
    </row>
    <row r="22" spans="2:7" ht="79" customHeight="1" x14ac:dyDescent="0.2">
      <c r="B22" s="25" t="s">
        <v>146</v>
      </c>
      <c r="C22" s="48" t="str">
        <f>Sheet1!C12</f>
        <v>Describe the planning and execution of a complex project incorporating a management approach. (MLO 1, 2; CLO A, E)</v>
      </c>
      <c r="D22" s="48"/>
      <c r="E22" s="48"/>
      <c r="F22" s="46" t="s">
        <v>177</v>
      </c>
      <c r="G22" s="46"/>
    </row>
    <row r="23" spans="2:7" ht="70" customHeight="1" x14ac:dyDescent="0.2">
      <c r="B23" s="25" t="s">
        <v>147</v>
      </c>
      <c r="C23" s="48" t="str">
        <f>Sheet1!C13</f>
        <v>Develop a comprehensive project plan that includes budgeting, scheduling, and resource allocation. (MLO 2, 2;CLO D, E)</v>
      </c>
      <c r="D23" s="48"/>
      <c r="E23" s="48"/>
      <c r="F23" s="46" t="s">
        <v>178</v>
      </c>
      <c r="G23" s="46"/>
    </row>
    <row r="24" spans="2:7" ht="53" customHeight="1" x14ac:dyDescent="0.2">
      <c r="B24" s="25" t="s">
        <v>148</v>
      </c>
      <c r="C24" s="48" t="str">
        <f>Sheet1!C14</f>
        <v>Analyze a complex project and develop documentation of the process  for transitioning the project to operational status. (MLO1, 2; CLO D, E)</v>
      </c>
      <c r="D24" s="48"/>
      <c r="E24" s="48"/>
      <c r="F24" s="46" t="s">
        <v>179</v>
      </c>
      <c r="G24" s="46"/>
    </row>
    <row r="25" spans="2:7" x14ac:dyDescent="0.2">
      <c r="B25" s="3"/>
      <c r="C25" s="3"/>
      <c r="D25" s="3"/>
      <c r="E25" s="3"/>
      <c r="F25" s="3"/>
      <c r="G25" s="3"/>
    </row>
    <row r="26" spans="2:7" x14ac:dyDescent="0.2">
      <c r="B26" s="49" t="s">
        <v>149</v>
      </c>
      <c r="C26" s="49"/>
      <c r="D26" s="49"/>
      <c r="E26" s="49"/>
      <c r="F26" s="49"/>
      <c r="G26" s="49"/>
    </row>
    <row r="27" spans="2:7" x14ac:dyDescent="0.2">
      <c r="B27" s="21" t="s">
        <v>150</v>
      </c>
      <c r="C27" s="47" t="s">
        <v>151</v>
      </c>
      <c r="D27" s="47"/>
      <c r="E27" s="47"/>
      <c r="F27" s="47" t="s">
        <v>152</v>
      </c>
      <c r="G27" s="47"/>
    </row>
    <row r="28" spans="2:7" ht="72" customHeight="1" x14ac:dyDescent="0.2">
      <c r="B28" s="25" t="s">
        <v>17</v>
      </c>
      <c r="C28" s="46" t="s">
        <v>180</v>
      </c>
      <c r="D28" s="46"/>
      <c r="E28" s="46"/>
      <c r="F28" s="46" t="s">
        <v>181</v>
      </c>
      <c r="G28" s="46"/>
    </row>
    <row r="29" spans="2:7" ht="73" customHeight="1" x14ac:dyDescent="0.2">
      <c r="B29" s="25" t="s">
        <v>18</v>
      </c>
      <c r="C29" s="46" t="s">
        <v>182</v>
      </c>
      <c r="D29" s="46"/>
      <c r="E29" s="46"/>
      <c r="F29" s="46" t="s">
        <v>183</v>
      </c>
      <c r="G29" s="46"/>
    </row>
    <row r="30" spans="2:7" ht="63" customHeight="1" x14ac:dyDescent="0.2">
      <c r="B30" s="25" t="s">
        <v>19</v>
      </c>
      <c r="C30" s="46" t="s">
        <v>205</v>
      </c>
      <c r="D30" s="46"/>
      <c r="E30" s="46"/>
      <c r="F30" s="46" t="s">
        <v>184</v>
      </c>
      <c r="G30" s="46"/>
    </row>
    <row r="31" spans="2:7" ht="63" customHeight="1" x14ac:dyDescent="0.2">
      <c r="B31" s="25" t="s">
        <v>99</v>
      </c>
      <c r="C31" s="46" t="s">
        <v>185</v>
      </c>
      <c r="D31" s="46"/>
      <c r="E31" s="46"/>
      <c r="F31" s="46" t="s">
        <v>186</v>
      </c>
      <c r="G31" s="46"/>
    </row>
    <row r="32" spans="2:7" ht="63" customHeight="1" x14ac:dyDescent="0.2">
      <c r="B32" s="25" t="s">
        <v>21</v>
      </c>
      <c r="C32" s="46" t="s">
        <v>187</v>
      </c>
      <c r="D32" s="46"/>
      <c r="E32" s="46"/>
      <c r="F32" s="46" t="s">
        <v>188</v>
      </c>
      <c r="G32" s="46"/>
    </row>
    <row r="33" spans="2:7" ht="63" customHeight="1" x14ac:dyDescent="0.2">
      <c r="B33" s="25" t="s">
        <v>153</v>
      </c>
      <c r="C33" s="46" t="s">
        <v>206</v>
      </c>
      <c r="D33" s="46"/>
      <c r="E33" s="46"/>
      <c r="F33" s="46" t="s">
        <v>189</v>
      </c>
      <c r="G33" s="46"/>
    </row>
    <row r="34" spans="2:7" ht="63" customHeight="1" x14ac:dyDescent="0.2">
      <c r="B34" s="25" t="s">
        <v>154</v>
      </c>
      <c r="C34" s="46" t="s">
        <v>190</v>
      </c>
      <c r="D34" s="46"/>
      <c r="E34" s="46"/>
      <c r="F34" s="46" t="s">
        <v>191</v>
      </c>
      <c r="G34" s="46"/>
    </row>
    <row r="35" spans="2:7" x14ac:dyDescent="0.2">
      <c r="B35" s="3"/>
      <c r="C35" s="3"/>
      <c r="D35" s="3"/>
      <c r="E35" s="3"/>
      <c r="F35" s="3"/>
      <c r="G35" s="3"/>
    </row>
    <row r="36" spans="2:7" x14ac:dyDescent="0.2">
      <c r="B36" s="49" t="s">
        <v>155</v>
      </c>
      <c r="C36" s="49"/>
      <c r="D36" s="49"/>
      <c r="E36" s="49"/>
      <c r="F36" s="49"/>
      <c r="G36" s="49"/>
    </row>
    <row r="37" spans="2:7" ht="17" x14ac:dyDescent="0.2">
      <c r="B37" s="26" t="s">
        <v>156</v>
      </c>
      <c r="C37" s="27" t="s">
        <v>52</v>
      </c>
      <c r="D37" s="47" t="s">
        <v>157</v>
      </c>
      <c r="E37" s="47"/>
      <c r="F37" s="47" t="s">
        <v>158</v>
      </c>
      <c r="G37" s="47"/>
    </row>
    <row r="38" spans="2:7" ht="73" customHeight="1" x14ac:dyDescent="0.2">
      <c r="B38" s="17" t="s">
        <v>159</v>
      </c>
      <c r="C38" s="28">
        <v>20</v>
      </c>
      <c r="D38" s="45" t="s">
        <v>160</v>
      </c>
      <c r="E38" s="45"/>
      <c r="F38" s="46" t="s">
        <v>192</v>
      </c>
      <c r="G38" s="46"/>
    </row>
    <row r="39" spans="2:7" ht="73" customHeight="1" x14ac:dyDescent="0.2">
      <c r="B39" s="17" t="s">
        <v>161</v>
      </c>
      <c r="C39" s="28">
        <v>30</v>
      </c>
      <c r="D39" s="45" t="s">
        <v>162</v>
      </c>
      <c r="E39" s="45"/>
      <c r="F39" s="46" t="s">
        <v>193</v>
      </c>
      <c r="G39" s="46"/>
    </row>
    <row r="40" spans="2:7" ht="73" customHeight="1" x14ac:dyDescent="0.2">
      <c r="B40" s="17" t="s">
        <v>163</v>
      </c>
      <c r="C40" s="28">
        <v>20</v>
      </c>
      <c r="D40" s="45" t="s">
        <v>164</v>
      </c>
      <c r="E40" s="45"/>
      <c r="F40" s="46" t="s">
        <v>194</v>
      </c>
      <c r="G40" s="46"/>
    </row>
    <row r="41" spans="2:7" ht="73" customHeight="1" x14ac:dyDescent="0.2">
      <c r="B41" s="17" t="s">
        <v>165</v>
      </c>
      <c r="C41" s="28">
        <v>15</v>
      </c>
      <c r="D41" s="45" t="s">
        <v>166</v>
      </c>
      <c r="E41" s="45"/>
      <c r="F41" s="46" t="s">
        <v>195</v>
      </c>
      <c r="G41" s="46"/>
    </row>
    <row r="42" spans="2:7" ht="73" customHeight="1" x14ac:dyDescent="0.2">
      <c r="B42" s="17" t="s">
        <v>167</v>
      </c>
      <c r="C42" s="28">
        <v>10</v>
      </c>
      <c r="D42" s="45" t="s">
        <v>168</v>
      </c>
      <c r="E42" s="45"/>
      <c r="F42" s="46" t="s">
        <v>196</v>
      </c>
      <c r="G42" s="46"/>
    </row>
    <row r="43" spans="2:7" ht="73" customHeight="1" x14ac:dyDescent="0.2">
      <c r="B43" s="17" t="s">
        <v>169</v>
      </c>
      <c r="C43" s="28">
        <v>5</v>
      </c>
      <c r="D43" s="45" t="s">
        <v>170</v>
      </c>
      <c r="E43" s="45"/>
      <c r="F43" s="46" t="s">
        <v>197</v>
      </c>
      <c r="G43" s="46"/>
    </row>
    <row r="44" spans="2:7" x14ac:dyDescent="0.2">
      <c r="B44" s="15" t="s">
        <v>133</v>
      </c>
      <c r="C44" s="24">
        <f>SUM(C38:C43)</f>
        <v>100</v>
      </c>
      <c r="D44" s="16"/>
      <c r="E44" s="16"/>
      <c r="F44" s="16"/>
      <c r="G44" s="16"/>
    </row>
  </sheetData>
  <mergeCells count="52">
    <mergeCell ref="B2:G2"/>
    <mergeCell ref="B4:G4"/>
    <mergeCell ref="B9:G9"/>
    <mergeCell ref="B11:G11"/>
    <mergeCell ref="B17:G17"/>
    <mergeCell ref="B26:G26"/>
    <mergeCell ref="B36:G36"/>
    <mergeCell ref="C12:G12"/>
    <mergeCell ref="C13:G13"/>
    <mergeCell ref="C14:G14"/>
    <mergeCell ref="C15:G15"/>
    <mergeCell ref="C16:G16"/>
    <mergeCell ref="C20:G20"/>
    <mergeCell ref="C21:E21"/>
    <mergeCell ref="F21:G21"/>
    <mergeCell ref="B19:G19"/>
    <mergeCell ref="C22:E22"/>
    <mergeCell ref="F22:G22"/>
    <mergeCell ref="C23:E23"/>
    <mergeCell ref="F23:G23"/>
    <mergeCell ref="C24:E24"/>
    <mergeCell ref="F24:G24"/>
    <mergeCell ref="C27:E27"/>
    <mergeCell ref="F27:G27"/>
    <mergeCell ref="D37:E37"/>
    <mergeCell ref="F37:G37"/>
    <mergeCell ref="C28:E28"/>
    <mergeCell ref="F28:G28"/>
    <mergeCell ref="C29:E29"/>
    <mergeCell ref="F29:G29"/>
    <mergeCell ref="C30:E30"/>
    <mergeCell ref="F30:G30"/>
    <mergeCell ref="C31:E31"/>
    <mergeCell ref="F31:G31"/>
    <mergeCell ref="C32:E32"/>
    <mergeCell ref="F32:G32"/>
    <mergeCell ref="C33:E33"/>
    <mergeCell ref="F33:G33"/>
    <mergeCell ref="C34:E34"/>
    <mergeCell ref="F34:G34"/>
    <mergeCell ref="D38:E38"/>
    <mergeCell ref="F38:G38"/>
    <mergeCell ref="D39:E39"/>
    <mergeCell ref="F39:G39"/>
    <mergeCell ref="D43:E43"/>
    <mergeCell ref="F43:G43"/>
    <mergeCell ref="D40:E40"/>
    <mergeCell ref="F40:G40"/>
    <mergeCell ref="D41:E41"/>
    <mergeCell ref="F41:G41"/>
    <mergeCell ref="D42:E42"/>
    <mergeCell ref="F42:G42"/>
  </mergeCells>
  <dataValidations count="2">
    <dataValidation type="list" allowBlank="1" showInputMessage="1" showErrorMessage="1" sqref="C13" xr:uid="{9326FE6E-EF18-4041-A157-CE005506834D}">
      <formula1>"Analysis of a completed project,Case study of a PM methodology,Hypothetical project scenario"</formula1>
    </dataValidation>
    <dataValidation type="whole" allowBlank="1" showInputMessage="1" showErrorMessage="1" sqref="C6:F8" xr:uid="{15804F3F-1E46-A149-B45D-F4061C8EEABE}">
      <formula1>1</formula1>
      <formula2>5</formula2>
    </dataValidation>
  </dataValidations>
  <pageMargins left="0.7" right="0.7" top="0.75" bottom="0.75" header="0.3" footer="0.3"/>
  <pageSetup orientation="portrait" horizontalDpi="0" verticalDpi="0"/>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AB8D5-AFF2-7947-BB17-33E8DC050216}">
  <dimension ref="B2:G24"/>
  <sheetViews>
    <sheetView tabSelected="1" workbookViewId="0">
      <selection activeCell="C29" sqref="C29"/>
    </sheetView>
  </sheetViews>
  <sheetFormatPr baseColWidth="10" defaultRowHeight="16" x14ac:dyDescent="0.2"/>
  <cols>
    <col min="1" max="1" width="3.33203125" customWidth="1"/>
    <col min="2" max="2" width="43.33203125" customWidth="1"/>
    <col min="3" max="7" width="16.6640625" customWidth="1"/>
  </cols>
  <sheetData>
    <row r="2" spans="2:7" ht="22" x14ac:dyDescent="0.3">
      <c r="B2" s="8" t="s">
        <v>207</v>
      </c>
      <c r="C2" s="42"/>
      <c r="D2" s="42"/>
      <c r="E2" s="42"/>
      <c r="F2" s="42"/>
      <c r="G2" s="42"/>
    </row>
    <row r="3" spans="2:7" x14ac:dyDescent="0.2">
      <c r="B3" s="31" t="s">
        <v>208</v>
      </c>
      <c r="C3" s="44"/>
      <c r="D3" s="44"/>
      <c r="E3" s="44"/>
      <c r="F3" s="44"/>
      <c r="G3" s="44"/>
    </row>
    <row r="5" spans="2:7" x14ac:dyDescent="0.2">
      <c r="B5" s="20" t="s">
        <v>209</v>
      </c>
      <c r="C5" s="43"/>
      <c r="D5" s="43"/>
      <c r="E5" s="43"/>
      <c r="F5" s="43"/>
      <c r="G5" s="43"/>
    </row>
    <row r="6" spans="2:7" x14ac:dyDescent="0.2">
      <c r="B6" s="10" t="s">
        <v>210</v>
      </c>
      <c r="C6" s="32">
        <v>1000</v>
      </c>
    </row>
    <row r="7" spans="2:7" x14ac:dyDescent="0.2">
      <c r="B7" s="10" t="s">
        <v>211</v>
      </c>
      <c r="C7" s="33">
        <v>0.25</v>
      </c>
    </row>
    <row r="8" spans="2:7" x14ac:dyDescent="0.2">
      <c r="B8" s="10" t="s">
        <v>212</v>
      </c>
      <c r="C8" s="33">
        <v>0.08</v>
      </c>
    </row>
    <row r="9" spans="2:7" x14ac:dyDescent="0.2">
      <c r="B9" s="10" t="s">
        <v>213</v>
      </c>
      <c r="C9" s="32">
        <v>15000</v>
      </c>
    </row>
    <row r="10" spans="2:7" x14ac:dyDescent="0.2">
      <c r="B10" s="10" t="s">
        <v>214</v>
      </c>
      <c r="C10" s="34">
        <v>3</v>
      </c>
    </row>
    <row r="12" spans="2:7" x14ac:dyDescent="0.2">
      <c r="B12" s="20" t="s">
        <v>215</v>
      </c>
      <c r="C12" s="43"/>
      <c r="D12" s="43"/>
      <c r="E12" s="43"/>
      <c r="F12" s="43"/>
      <c r="G12" s="43"/>
    </row>
    <row r="13" spans="2:7" x14ac:dyDescent="0.2">
      <c r="B13" s="10" t="s">
        <v>216</v>
      </c>
      <c r="C13" s="35">
        <f>C6*(C7-C8)</f>
        <v>169.99999999999997</v>
      </c>
    </row>
    <row r="14" spans="2:7" x14ac:dyDescent="0.2">
      <c r="B14" s="10" t="s">
        <v>217</v>
      </c>
      <c r="C14" s="35">
        <f>C13*C9</f>
        <v>2549999.9999999995</v>
      </c>
    </row>
    <row r="15" spans="2:7" x14ac:dyDescent="0.2">
      <c r="B15" s="10" t="s">
        <v>218</v>
      </c>
      <c r="C15" s="36">
        <f>C14/1000000*C10</f>
        <v>7.6499999999999986</v>
      </c>
    </row>
    <row r="16" spans="2:7" x14ac:dyDescent="0.2">
      <c r="B16" s="11" t="s">
        <v>219</v>
      </c>
      <c r="C16" s="37">
        <f>C15*12</f>
        <v>91.799999999999983</v>
      </c>
    </row>
    <row r="18" spans="2:7" x14ac:dyDescent="0.2">
      <c r="B18" s="20" t="s">
        <v>220</v>
      </c>
      <c r="C18" s="43"/>
      <c r="D18" s="43"/>
      <c r="E18" s="43"/>
      <c r="F18" s="43"/>
      <c r="G18" s="43"/>
    </row>
    <row r="19" spans="2:7" x14ac:dyDescent="0.2">
      <c r="B19" s="38" t="s">
        <v>221</v>
      </c>
      <c r="C19" s="39">
        <v>1</v>
      </c>
      <c r="D19" s="39">
        <v>2</v>
      </c>
      <c r="E19" s="39">
        <v>3</v>
      </c>
      <c r="F19" s="39">
        <v>4</v>
      </c>
      <c r="G19" s="39">
        <v>5</v>
      </c>
    </row>
    <row r="20" spans="2:7" x14ac:dyDescent="0.2">
      <c r="B20" s="40">
        <v>250</v>
      </c>
      <c r="C20" s="36">
        <f>$B20*($C$7-$C$8)*$C$9/1000000*C$19*12</f>
        <v>7.6499999999999986</v>
      </c>
      <c r="D20" s="36">
        <f t="shared" ref="D20:G24" si="0">$B20*($C$7-$C$8)*$C$9/1000000*D$19*12</f>
        <v>15.299999999999997</v>
      </c>
      <c r="E20" s="36">
        <f t="shared" si="0"/>
        <v>22.949999999999996</v>
      </c>
      <c r="F20" s="36">
        <f t="shared" si="0"/>
        <v>30.599999999999994</v>
      </c>
      <c r="G20" s="36">
        <f t="shared" si="0"/>
        <v>38.249999999999986</v>
      </c>
    </row>
    <row r="21" spans="2:7" x14ac:dyDescent="0.2">
      <c r="B21" s="40">
        <v>500</v>
      </c>
      <c r="C21" s="36">
        <f t="shared" ref="C21:C24" si="1">$B21*($C$7-$C$8)*$C$9/1000000*C$19*12</f>
        <v>15.299999999999997</v>
      </c>
      <c r="D21" s="36">
        <f t="shared" si="0"/>
        <v>30.599999999999994</v>
      </c>
      <c r="E21" s="36">
        <f t="shared" si="0"/>
        <v>45.899999999999991</v>
      </c>
      <c r="F21" s="36">
        <f t="shared" si="0"/>
        <v>61.199999999999989</v>
      </c>
      <c r="G21" s="36">
        <f t="shared" si="0"/>
        <v>76.499999999999972</v>
      </c>
    </row>
    <row r="22" spans="2:7" x14ac:dyDescent="0.2">
      <c r="B22" s="40">
        <v>1000</v>
      </c>
      <c r="C22" s="36">
        <f t="shared" si="1"/>
        <v>30.599999999999994</v>
      </c>
      <c r="D22" s="36">
        <f t="shared" si="0"/>
        <v>61.199999999999989</v>
      </c>
      <c r="E22" s="41">
        <f t="shared" si="0"/>
        <v>91.799999999999983</v>
      </c>
      <c r="F22" s="36">
        <f t="shared" si="0"/>
        <v>122.39999999999998</v>
      </c>
      <c r="G22" s="36">
        <f t="shared" si="0"/>
        <v>152.99999999999994</v>
      </c>
    </row>
    <row r="23" spans="2:7" x14ac:dyDescent="0.2">
      <c r="B23" s="40">
        <v>2000</v>
      </c>
      <c r="C23" s="36">
        <f t="shared" si="1"/>
        <v>61.199999999999989</v>
      </c>
      <c r="D23" s="36">
        <f t="shared" si="0"/>
        <v>122.39999999999998</v>
      </c>
      <c r="E23" s="36">
        <f t="shared" si="0"/>
        <v>183.59999999999997</v>
      </c>
      <c r="F23" s="36">
        <f t="shared" si="0"/>
        <v>244.79999999999995</v>
      </c>
      <c r="G23" s="36">
        <f t="shared" si="0"/>
        <v>305.99999999999989</v>
      </c>
    </row>
    <row r="24" spans="2:7" x14ac:dyDescent="0.2">
      <c r="B24" s="40">
        <v>4000</v>
      </c>
      <c r="C24" s="36">
        <f t="shared" si="1"/>
        <v>122.39999999999998</v>
      </c>
      <c r="D24" s="36">
        <f t="shared" si="0"/>
        <v>244.79999999999995</v>
      </c>
      <c r="E24" s="36">
        <f t="shared" si="0"/>
        <v>367.19999999999993</v>
      </c>
      <c r="F24" s="36">
        <f t="shared" si="0"/>
        <v>489.59999999999991</v>
      </c>
      <c r="G24" s="36">
        <f t="shared" si="0"/>
        <v>611.99999999999977</v>
      </c>
    </row>
  </sheetData>
  <pageMargins left="0.7" right="0.7" top="0.75" bottom="0.75" header="0.3" footer="0.3"/>
  <pageSetup orientation="portrait" horizontalDpi="0" verticalDpi="0"/>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Sheet1</vt:lpstr>
      <vt:lpstr>Project Tracker</vt:lpstr>
      <vt:lpstr>Project Definition</vt:lpstr>
      <vt:lpstr>Token Savings Model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Akinwale, Emmanuel T.</dc:creator>
  <cp:lastModifiedBy>Akinwale, Emmanuel T.</cp:lastModifiedBy>
  <cp:lastPrinted>2026-07-17T13:55:39Z</cp:lastPrinted>
  <dcterms:created xsi:type="dcterms:W3CDTF">2026-07-16T00:54:25Z</dcterms:created>
  <dcterms:modified xsi:type="dcterms:W3CDTF">2026-07-22T11:37:32Z</dcterms:modified>
</cp:coreProperties>
</file>